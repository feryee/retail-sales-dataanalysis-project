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tail-sales-data-analysis\excel_analysis\"/>
    </mc:Choice>
  </mc:AlternateContent>
  <xr:revisionPtr revIDLastSave="0" documentId="8_{BBCC679A-B899-4587-968A-4DAA91312D96}" xr6:coauthVersionLast="47" xr6:coauthVersionMax="47" xr10:uidLastSave="{00000000-0000-0000-0000-000000000000}"/>
  <bookViews>
    <workbookView xWindow="-108" yWindow="-108" windowWidth="23256" windowHeight="12576" xr2:uid="{8E620BA0-E5B8-45A8-A288-872AB42F1512}"/>
  </bookViews>
  <sheets>
    <sheet name="sales_data.csv" sheetId="1" r:id="rId1"/>
  </sheets>
  <calcPr calcId="0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</calcChain>
</file>

<file path=xl/sharedStrings.xml><?xml version="1.0" encoding="utf-8"?>
<sst xmlns="http://schemas.openxmlformats.org/spreadsheetml/2006/main" count="806" uniqueCount="98">
  <si>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</si>
  <si>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</si>
  <si>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</si>
  <si>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</si>
  <si>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</si>
  <si>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</si>
  <si>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</si>
  <si>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</si>
  <si>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</si>
  <si>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</si>
  <si>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</si>
  <si>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</si>
  <si>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</si>
  <si>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</si>
  <si>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</si>
  <si>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</si>
  <si>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</si>
  <si>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</si>
  <si>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</si>
  <si>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</si>
  <si>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</si>
  <si>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</si>
  <si>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</si>
  <si>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</si>
  <si>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</si>
  <si>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</si>
  <si>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</si>
  <si>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</si>
  <si>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</si>
  <si>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</si>
  <si>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</si>
  <si>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</si>
  <si>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</si>
  <si>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</si>
  <si>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</si>
  <si>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</si>
  <si>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</si>
  <si>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</si>
  <si>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</si>
  <si>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</si>
  <si>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</si>
  <si>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</si>
  <si>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</si>
  <si>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</si>
  <si>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</si>
  <si>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</si>
  <si>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</si>
  <si>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</si>
  <si>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</si>
  <si>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</si>
  <si>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</si>
  <si>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</si>
  <si>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</si>
  <si>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</si>
  <si>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</si>
  <si>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</si>
  <si>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</si>
  <si>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</si>
  <si>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</si>
  <si>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</si>
  <si>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</si>
  <si>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</si>
  <si>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</si>
  <si>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</si>
  <si>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</si>
  <si>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</si>
  <si>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</si>
  <si>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</si>
  <si>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</si>
  <si>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</si>
  <si>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</si>
  <si>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</si>
  <si>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</si>
  <si>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</si>
  <si>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</si>
  <si>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</si>
  <si>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</si>
  <si>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</si>
  <si>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</si>
  <si>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</si>
  <si>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</si>
  <si>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</si>
  <si>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</si>
  <si>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</si>
  <si>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</si>
  <si>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</si>
  <si>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</si>
  <si>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</si>
  <si>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</si>
  <si>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</si>
  <si>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</si>
  <si>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</si>
  <si>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</si>
  <si>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</si>
  <si>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</si>
  <si>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</si>
  <si>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 xml:space="preserve">      Profit</t>
  </si>
  <si>
    <t>Profit_Status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</si>
</sst>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vertical="center" wrapText="1"/>
    </xf>
    <xf numFmtId="0" fontId="16" fillId="34" borderId="0" xfId="0" applyFont="1" applyFill="1" applyAlignment="1">
      <alignment vertical="center" wrapText="1"/>
    </xf>
    <xf numFmtId="2" fontId="16" fillId="34" borderId="0" xfId="0" applyNumberFormat="1" applyFont="1" applyFill="1" applyAlignment="1">
      <alignment vertical="center" wrapText="1"/>
    </xf>
    <xf numFmtId="9" fontId="16" fillId="34" borderId="0" xfId="1" applyFont="1" applyFill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B43EC-B86F-4ACC-A261-BBFB0F2787CC}" name="Table2" displayName="Table2" ref="A1:N100" totalsRowShown="0" headerRowDxfId="1">
  <autoFilter ref="A1:N100" xr:uid="{9F7B43EC-B86F-4ACC-A261-BBFB0F2787CC}"/>
  <tableColumns count="14">
    <tableColumn id="1" xr3:uid="{92D8C474-6494-4E7B-942B-FD91366E53D2}" name="Ship Mode"/>
    <tableColumn id="2" xr3:uid="{BA2D4523-5DC5-4CDD-B874-EB9731FA0C0A}" name="Segment"/>
    <tableColumn id="3" xr3:uid="{0F1AC611-D278-4F52-A8C7-DE57909F2BE5}" name="Country"/>
    <tableColumn id="4" xr3:uid="{21B7FF30-7948-46B8-A9A0-C3FA7D396867}" name="City"/>
    <tableColumn id="5" xr3:uid="{F8D9D686-CD0F-4EA2-93A1-899850456E50}" name="State"/>
    <tableColumn id="6" xr3:uid="{2E6347D3-58B6-401B-B502-783C4B66167C}" name="Postal Code"/>
    <tableColumn id="7" xr3:uid="{1319ACE2-5492-4ECD-88DB-F4D0D0DAD70A}" name="Region"/>
    <tableColumn id="8" xr3:uid="{9E2E096C-E586-4DE4-B555-545C8864FD5B}" name="Category"/>
    <tableColumn id="9" xr3:uid="{2ADC23D6-33E9-469B-8822-D358119A9F35}" name="Sub-Category"/>
    <tableColumn id="10" xr3:uid="{F98026F6-BA3C-436E-ACC8-FDE5A0288A3B}" name="Sales"/>
    <tableColumn id="11" xr3:uid="{4242B29A-20CA-4448-8413-1D9A1366230A}" name="Quantity"/>
    <tableColumn id="12" xr3:uid="{16F96C6D-AA61-43DA-9B37-AC6ECCBA4120}" name="Discount"/>
    <tableColumn id="13" xr3:uid="{2AD4A2CC-14CA-4E35-B1E6-1A5C80927FB4}" name="      Profit"/>
    <tableColumn id="14" xr3:uid="{3BB2107F-EA29-4C62-9A79-54336A75E46D}" name="Profit_Status" dataDxfId="0">
      <calculatedColumnFormula>IF(M2&gt;0,"Profit","Loss")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266D-AAEA-4E86-8E7C-660A5D09CF50}">
  <dimension ref="A1:N100"/>
  <sheetViews>
    <sheetView tabSelected="1" topLeftCell="E1" workbookViewId="0">
      <selection activeCell="N2" sqref="N2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4" width="13.88671875" bestFit="1" customWidth="1"/>
    <col min="5" max="5" width="12.21875" customWidth="1"/>
    <col min="6" max="6" width="12.77734375" customWidth="1"/>
    <col min="7" max="7" width="8.6640625" customWidth="1"/>
    <col min="8" max="8" width="13.109375" bestFit="1" customWidth="1"/>
    <col min="9" max="9" width="14.33203125" customWidth="1"/>
    <col min="10" max="10" width="9" bestFit="1" customWidth="1"/>
    <col min="11" max="13" width="10.21875" customWidth="1"/>
    <col min="14" max="14" width="13.6640625" customWidth="1"/>
    <col min="16" max="16" width="10.44140625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3" t="s">
        <v>96</v>
      </c>
      <c r="N1" s="2" t="s">
        <v>97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42420</v>
      </c>
      <c r="G2" t="s">
        <v>17</v>
      </c>
      <c r="H2" t="s">
        <v>18</v>
      </c>
      <c r="I2" t="s">
        <v>19</v>
      </c>
      <c r="J2">
        <v>261.95999999999998</v>
      </c>
      <c r="K2">
        <v>2</v>
      </c>
      <c r="L2">
        <v>0</v>
      </c>
      <c r="M2">
        <v>41.913600000000002</v>
      </c>
      <c r="N2" t="str">
        <f t="shared" ref="N2:N33" si="0">IF(M2&gt;0,"Profit","Loss")</f>
        <v>Profit</v>
      </c>
    </row>
    <row r="3" spans="1:1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42420</v>
      </c>
      <c r="G3" t="s">
        <v>17</v>
      </c>
      <c r="H3" t="s">
        <v>18</v>
      </c>
      <c r="I3" t="s">
        <v>20</v>
      </c>
      <c r="J3">
        <v>731.94</v>
      </c>
      <c r="K3">
        <v>3</v>
      </c>
      <c r="L3">
        <v>0</v>
      </c>
      <c r="M3">
        <v>219.58199999999999</v>
      </c>
      <c r="N3" t="str">
        <f t="shared" si="0"/>
        <v>Profit</v>
      </c>
    </row>
    <row r="4" spans="1:14" x14ac:dyDescent="0.3">
      <c r="A4" t="s">
        <v>12</v>
      </c>
      <c r="B4" t="s">
        <v>21</v>
      </c>
      <c r="C4" t="s">
        <v>14</v>
      </c>
      <c r="D4" t="s">
        <v>22</v>
      </c>
      <c r="E4" t="s">
        <v>23</v>
      </c>
      <c r="F4">
        <v>90036</v>
      </c>
      <c r="G4" t="s">
        <v>24</v>
      </c>
      <c r="H4" t="s">
        <v>25</v>
      </c>
      <c r="I4" t="s">
        <v>26</v>
      </c>
      <c r="J4">
        <v>14.62</v>
      </c>
      <c r="K4">
        <v>2</v>
      </c>
      <c r="L4">
        <v>0</v>
      </c>
      <c r="M4">
        <v>6.8714000000000004</v>
      </c>
      <c r="N4" t="str">
        <f t="shared" si="0"/>
        <v>Profit</v>
      </c>
    </row>
    <row r="5" spans="1:14" x14ac:dyDescent="0.3">
      <c r="A5" t="s">
        <v>27</v>
      </c>
      <c r="B5" t="s">
        <v>13</v>
      </c>
      <c r="C5" t="s">
        <v>14</v>
      </c>
      <c r="D5" t="s">
        <v>28</v>
      </c>
      <c r="E5" t="s">
        <v>29</v>
      </c>
      <c r="F5">
        <v>33311</v>
      </c>
      <c r="G5" t="s">
        <v>17</v>
      </c>
      <c r="H5" t="s">
        <v>18</v>
      </c>
      <c r="I5" t="s">
        <v>30</v>
      </c>
      <c r="J5">
        <v>957.57749999999999</v>
      </c>
      <c r="K5">
        <v>5</v>
      </c>
      <c r="L5">
        <v>0.45</v>
      </c>
      <c r="M5">
        <v>-383.03100000000001</v>
      </c>
      <c r="N5" t="str">
        <f t="shared" si="0"/>
        <v>Loss</v>
      </c>
    </row>
    <row r="6" spans="1:14" x14ac:dyDescent="0.3">
      <c r="A6" t="s">
        <v>27</v>
      </c>
      <c r="B6" t="s">
        <v>13</v>
      </c>
      <c r="C6" t="s">
        <v>14</v>
      </c>
      <c r="D6" t="s">
        <v>28</v>
      </c>
      <c r="E6" t="s">
        <v>29</v>
      </c>
      <c r="F6">
        <v>33311</v>
      </c>
      <c r="G6" t="s">
        <v>17</v>
      </c>
      <c r="H6" t="s">
        <v>25</v>
      </c>
      <c r="I6" t="s">
        <v>31</v>
      </c>
      <c r="J6">
        <v>22.367999999999999</v>
      </c>
      <c r="K6">
        <v>2</v>
      </c>
      <c r="L6">
        <v>0.2</v>
      </c>
      <c r="M6">
        <v>2.5164</v>
      </c>
      <c r="N6" t="str">
        <f t="shared" si="0"/>
        <v>Profit</v>
      </c>
    </row>
    <row r="7" spans="1:14" x14ac:dyDescent="0.3">
      <c r="A7" t="s">
        <v>27</v>
      </c>
      <c r="B7" t="s">
        <v>13</v>
      </c>
      <c r="C7" t="s">
        <v>14</v>
      </c>
      <c r="D7" t="s">
        <v>22</v>
      </c>
      <c r="E7" t="s">
        <v>23</v>
      </c>
      <c r="F7">
        <v>90032</v>
      </c>
      <c r="G7" t="s">
        <v>24</v>
      </c>
      <c r="H7" t="s">
        <v>18</v>
      </c>
      <c r="I7" t="s">
        <v>32</v>
      </c>
      <c r="J7">
        <v>48.86</v>
      </c>
      <c r="K7">
        <v>7</v>
      </c>
      <c r="L7">
        <v>0</v>
      </c>
      <c r="M7">
        <v>14.1694</v>
      </c>
      <c r="N7" t="str">
        <f t="shared" si="0"/>
        <v>Profit</v>
      </c>
    </row>
    <row r="8" spans="1:14" x14ac:dyDescent="0.3">
      <c r="A8" t="s">
        <v>27</v>
      </c>
      <c r="B8" t="s">
        <v>13</v>
      </c>
      <c r="C8" t="s">
        <v>14</v>
      </c>
      <c r="D8" t="s">
        <v>22</v>
      </c>
      <c r="E8" t="s">
        <v>23</v>
      </c>
      <c r="F8">
        <v>90032</v>
      </c>
      <c r="G8" t="s">
        <v>24</v>
      </c>
      <c r="H8" t="s">
        <v>25</v>
      </c>
      <c r="I8" t="s">
        <v>33</v>
      </c>
      <c r="J8">
        <v>7.28</v>
      </c>
      <c r="K8">
        <v>4</v>
      </c>
      <c r="L8">
        <v>0</v>
      </c>
      <c r="M8">
        <v>1.9656</v>
      </c>
      <c r="N8" t="str">
        <f t="shared" si="0"/>
        <v>Profit</v>
      </c>
    </row>
    <row r="9" spans="1:14" x14ac:dyDescent="0.3">
      <c r="A9" t="s">
        <v>27</v>
      </c>
      <c r="B9" t="s">
        <v>13</v>
      </c>
      <c r="C9" t="s">
        <v>14</v>
      </c>
      <c r="D9" t="s">
        <v>22</v>
      </c>
      <c r="E9" t="s">
        <v>23</v>
      </c>
      <c r="F9">
        <v>90032</v>
      </c>
      <c r="G9" t="s">
        <v>24</v>
      </c>
      <c r="H9" t="s">
        <v>34</v>
      </c>
      <c r="I9" t="s">
        <v>35</v>
      </c>
      <c r="J9">
        <v>907.15200000000004</v>
      </c>
      <c r="K9">
        <v>6</v>
      </c>
      <c r="L9">
        <v>0.2</v>
      </c>
      <c r="M9">
        <v>90.715199999999996</v>
      </c>
      <c r="N9" t="str">
        <f t="shared" si="0"/>
        <v>Profit</v>
      </c>
    </row>
    <row r="10" spans="1:14" x14ac:dyDescent="0.3">
      <c r="A10" t="s">
        <v>27</v>
      </c>
      <c r="B10" t="s">
        <v>13</v>
      </c>
      <c r="C10" t="s">
        <v>14</v>
      </c>
      <c r="D10" t="s">
        <v>22</v>
      </c>
      <c r="E10" t="s">
        <v>23</v>
      </c>
      <c r="F10">
        <v>90032</v>
      </c>
      <c r="G10" t="s">
        <v>24</v>
      </c>
      <c r="H10" t="s">
        <v>25</v>
      </c>
      <c r="I10" t="s">
        <v>36</v>
      </c>
      <c r="J10">
        <v>18.504000000000001</v>
      </c>
      <c r="K10">
        <v>3</v>
      </c>
      <c r="L10">
        <v>0.2</v>
      </c>
      <c r="M10">
        <v>5.7824999999999998</v>
      </c>
      <c r="N10" t="str">
        <f t="shared" si="0"/>
        <v>Profit</v>
      </c>
    </row>
    <row r="11" spans="1:14" x14ac:dyDescent="0.3">
      <c r="A11" t="s">
        <v>27</v>
      </c>
      <c r="B11" t="s">
        <v>13</v>
      </c>
      <c r="C11" t="s">
        <v>14</v>
      </c>
      <c r="D11" t="s">
        <v>22</v>
      </c>
      <c r="E11" t="s">
        <v>23</v>
      </c>
      <c r="F11">
        <v>90032</v>
      </c>
      <c r="G11" t="s">
        <v>24</v>
      </c>
      <c r="H11" t="s">
        <v>25</v>
      </c>
      <c r="I11" t="s">
        <v>37</v>
      </c>
      <c r="J11">
        <v>114.9</v>
      </c>
      <c r="K11">
        <v>5</v>
      </c>
      <c r="L11">
        <v>0</v>
      </c>
      <c r="M11">
        <v>34.47</v>
      </c>
      <c r="N11" t="str">
        <f t="shared" si="0"/>
        <v>Profit</v>
      </c>
    </row>
    <row r="12" spans="1:14" x14ac:dyDescent="0.3">
      <c r="A12" t="s">
        <v>27</v>
      </c>
      <c r="B12" t="s">
        <v>13</v>
      </c>
      <c r="C12" t="s">
        <v>14</v>
      </c>
      <c r="D12" t="s">
        <v>22</v>
      </c>
      <c r="E12" t="s">
        <v>23</v>
      </c>
      <c r="F12">
        <v>90032</v>
      </c>
      <c r="G12" t="s">
        <v>24</v>
      </c>
      <c r="H12" t="s">
        <v>18</v>
      </c>
      <c r="I12" t="s">
        <v>30</v>
      </c>
      <c r="J12">
        <v>1706.184</v>
      </c>
      <c r="K12">
        <v>9</v>
      </c>
      <c r="L12">
        <v>0.2</v>
      </c>
      <c r="M12">
        <v>85.309200000000004</v>
      </c>
      <c r="N12" t="str">
        <f t="shared" si="0"/>
        <v>Profit</v>
      </c>
    </row>
    <row r="13" spans="1:14" x14ac:dyDescent="0.3">
      <c r="A13" t="s">
        <v>27</v>
      </c>
      <c r="B13" t="s">
        <v>13</v>
      </c>
      <c r="C13" t="s">
        <v>14</v>
      </c>
      <c r="D13" t="s">
        <v>22</v>
      </c>
      <c r="E13" t="s">
        <v>23</v>
      </c>
      <c r="F13">
        <v>90032</v>
      </c>
      <c r="G13" t="s">
        <v>24</v>
      </c>
      <c r="H13" t="s">
        <v>34</v>
      </c>
      <c r="I13" t="s">
        <v>35</v>
      </c>
      <c r="J13">
        <v>911.42399999999998</v>
      </c>
      <c r="K13">
        <v>4</v>
      </c>
      <c r="L13">
        <v>0.2</v>
      </c>
      <c r="M13">
        <v>68.356800000000007</v>
      </c>
      <c r="N13" t="str">
        <f t="shared" si="0"/>
        <v>Profit</v>
      </c>
    </row>
    <row r="14" spans="1:14" x14ac:dyDescent="0.3">
      <c r="A14" t="s">
        <v>27</v>
      </c>
      <c r="B14" t="s">
        <v>13</v>
      </c>
      <c r="C14" t="s">
        <v>14</v>
      </c>
      <c r="D14" t="s">
        <v>38</v>
      </c>
      <c r="E14" t="s">
        <v>39</v>
      </c>
      <c r="F14">
        <v>28027</v>
      </c>
      <c r="G14" t="s">
        <v>17</v>
      </c>
      <c r="H14" t="s">
        <v>25</v>
      </c>
      <c r="I14" t="s">
        <v>40</v>
      </c>
      <c r="J14">
        <v>15.552</v>
      </c>
      <c r="K14">
        <v>3</v>
      </c>
      <c r="L14">
        <v>0.2</v>
      </c>
      <c r="M14">
        <v>5.4432</v>
      </c>
      <c r="N14" t="str">
        <f t="shared" si="0"/>
        <v>Profit</v>
      </c>
    </row>
    <row r="15" spans="1:14" x14ac:dyDescent="0.3">
      <c r="A15" t="s">
        <v>27</v>
      </c>
      <c r="B15" t="s">
        <v>13</v>
      </c>
      <c r="C15" t="s">
        <v>14</v>
      </c>
      <c r="D15" t="s">
        <v>41</v>
      </c>
      <c r="E15" t="s">
        <v>42</v>
      </c>
      <c r="F15">
        <v>98103</v>
      </c>
      <c r="G15" t="s">
        <v>24</v>
      </c>
      <c r="H15" t="s">
        <v>25</v>
      </c>
      <c r="I15" t="s">
        <v>36</v>
      </c>
      <c r="J15">
        <v>407.976</v>
      </c>
      <c r="K15">
        <v>3</v>
      </c>
      <c r="L15">
        <v>0.2</v>
      </c>
      <c r="M15">
        <v>132.59219999999999</v>
      </c>
      <c r="N15" t="str">
        <f t="shared" si="0"/>
        <v>Profit</v>
      </c>
    </row>
    <row r="16" spans="1:14" x14ac:dyDescent="0.3">
      <c r="A16" t="s">
        <v>27</v>
      </c>
      <c r="B16" t="s">
        <v>43</v>
      </c>
      <c r="C16" t="s">
        <v>14</v>
      </c>
      <c r="D16" t="s">
        <v>44</v>
      </c>
      <c r="E16" t="s">
        <v>45</v>
      </c>
      <c r="F16">
        <v>76106</v>
      </c>
      <c r="G16" t="s">
        <v>46</v>
      </c>
      <c r="H16" t="s">
        <v>25</v>
      </c>
      <c r="I16" t="s">
        <v>37</v>
      </c>
      <c r="J16">
        <v>68.81</v>
      </c>
      <c r="K16">
        <v>5</v>
      </c>
      <c r="L16">
        <v>0.8</v>
      </c>
      <c r="M16">
        <v>-123.858</v>
      </c>
      <c r="N16" t="str">
        <f t="shared" si="0"/>
        <v>Loss</v>
      </c>
    </row>
    <row r="17" spans="1:14" x14ac:dyDescent="0.3">
      <c r="A17" t="s">
        <v>27</v>
      </c>
      <c r="B17" t="s">
        <v>43</v>
      </c>
      <c r="C17" t="s">
        <v>14</v>
      </c>
      <c r="D17" t="s">
        <v>44</v>
      </c>
      <c r="E17" t="s">
        <v>45</v>
      </c>
      <c r="F17">
        <v>76106</v>
      </c>
      <c r="G17" t="s">
        <v>46</v>
      </c>
      <c r="H17" t="s">
        <v>25</v>
      </c>
      <c r="I17" t="s">
        <v>36</v>
      </c>
      <c r="J17">
        <v>2.544</v>
      </c>
      <c r="K17">
        <v>3</v>
      </c>
      <c r="L17">
        <v>0.8</v>
      </c>
      <c r="M17">
        <v>-3.8159999999999998</v>
      </c>
      <c r="N17" t="str">
        <f t="shared" si="0"/>
        <v>Loss</v>
      </c>
    </row>
    <row r="18" spans="1:14" x14ac:dyDescent="0.3">
      <c r="A18" t="s">
        <v>27</v>
      </c>
      <c r="B18" t="s">
        <v>13</v>
      </c>
      <c r="C18" t="s">
        <v>14</v>
      </c>
      <c r="D18" t="s">
        <v>47</v>
      </c>
      <c r="E18" t="s">
        <v>48</v>
      </c>
      <c r="F18">
        <v>53711</v>
      </c>
      <c r="G18" t="s">
        <v>46</v>
      </c>
      <c r="H18" t="s">
        <v>25</v>
      </c>
      <c r="I18" t="s">
        <v>31</v>
      </c>
      <c r="J18">
        <v>665.88</v>
      </c>
      <c r="K18">
        <v>6</v>
      </c>
      <c r="L18">
        <v>0</v>
      </c>
      <c r="M18">
        <v>13.317600000000001</v>
      </c>
      <c r="N18" t="str">
        <f t="shared" si="0"/>
        <v>Profit</v>
      </c>
    </row>
    <row r="19" spans="1:14" x14ac:dyDescent="0.3">
      <c r="A19" t="s">
        <v>12</v>
      </c>
      <c r="B19" t="s">
        <v>13</v>
      </c>
      <c r="C19" t="s">
        <v>14</v>
      </c>
      <c r="D19" t="s">
        <v>49</v>
      </c>
      <c r="E19" t="s">
        <v>50</v>
      </c>
      <c r="F19">
        <v>84084</v>
      </c>
      <c r="G19" t="s">
        <v>24</v>
      </c>
      <c r="H19" t="s">
        <v>25</v>
      </c>
      <c r="I19" t="s">
        <v>31</v>
      </c>
      <c r="J19">
        <v>55.5</v>
      </c>
      <c r="K19">
        <v>2</v>
      </c>
      <c r="L19">
        <v>0</v>
      </c>
      <c r="M19">
        <v>9.99</v>
      </c>
      <c r="N19" t="str">
        <f t="shared" si="0"/>
        <v>Profit</v>
      </c>
    </row>
    <row r="20" spans="1:14" x14ac:dyDescent="0.3">
      <c r="A20" t="s">
        <v>12</v>
      </c>
      <c r="B20" t="s">
        <v>13</v>
      </c>
      <c r="C20" t="s">
        <v>14</v>
      </c>
      <c r="D20" t="s">
        <v>51</v>
      </c>
      <c r="E20" t="s">
        <v>23</v>
      </c>
      <c r="F20">
        <v>94109</v>
      </c>
      <c r="G20" t="s">
        <v>24</v>
      </c>
      <c r="H20" t="s">
        <v>25</v>
      </c>
      <c r="I20" t="s">
        <v>33</v>
      </c>
      <c r="J20">
        <v>8.56</v>
      </c>
      <c r="K20">
        <v>2</v>
      </c>
      <c r="L20">
        <v>0</v>
      </c>
      <c r="M20">
        <v>2.4824000000000002</v>
      </c>
      <c r="N20" t="str">
        <f t="shared" si="0"/>
        <v>Profit</v>
      </c>
    </row>
    <row r="21" spans="1:14" x14ac:dyDescent="0.3">
      <c r="A21" t="s">
        <v>12</v>
      </c>
      <c r="B21" t="s">
        <v>13</v>
      </c>
      <c r="C21" t="s">
        <v>14</v>
      </c>
      <c r="D21" t="s">
        <v>51</v>
      </c>
      <c r="E21" t="s">
        <v>23</v>
      </c>
      <c r="F21">
        <v>94109</v>
      </c>
      <c r="G21" t="s">
        <v>24</v>
      </c>
      <c r="H21" t="s">
        <v>34</v>
      </c>
      <c r="I21" t="s">
        <v>35</v>
      </c>
      <c r="J21">
        <v>213.48</v>
      </c>
      <c r="K21">
        <v>3</v>
      </c>
      <c r="L21">
        <v>0.2</v>
      </c>
      <c r="M21">
        <v>16.010999999999999</v>
      </c>
      <c r="N21" t="str">
        <f t="shared" si="0"/>
        <v>Profit</v>
      </c>
    </row>
    <row r="22" spans="1:14" x14ac:dyDescent="0.3">
      <c r="A22" t="s">
        <v>12</v>
      </c>
      <c r="B22" t="s">
        <v>13</v>
      </c>
      <c r="C22" t="s">
        <v>14</v>
      </c>
      <c r="D22" t="s">
        <v>51</v>
      </c>
      <c r="E22" t="s">
        <v>23</v>
      </c>
      <c r="F22">
        <v>94109</v>
      </c>
      <c r="G22" t="s">
        <v>24</v>
      </c>
      <c r="H22" t="s">
        <v>25</v>
      </c>
      <c r="I22" t="s">
        <v>36</v>
      </c>
      <c r="J22">
        <v>22.72</v>
      </c>
      <c r="K22">
        <v>4</v>
      </c>
      <c r="L22">
        <v>0.2</v>
      </c>
      <c r="M22">
        <v>7.3840000000000003</v>
      </c>
      <c r="N22" t="str">
        <f t="shared" si="0"/>
        <v>Profit</v>
      </c>
    </row>
    <row r="23" spans="1:14" x14ac:dyDescent="0.3">
      <c r="A23" t="s">
        <v>27</v>
      </c>
      <c r="B23" t="s">
        <v>21</v>
      </c>
      <c r="C23" t="s">
        <v>14</v>
      </c>
      <c r="D23" t="s">
        <v>52</v>
      </c>
      <c r="E23" t="s">
        <v>53</v>
      </c>
      <c r="F23">
        <v>68025</v>
      </c>
      <c r="G23" t="s">
        <v>46</v>
      </c>
      <c r="H23" t="s">
        <v>25</v>
      </c>
      <c r="I23" t="s">
        <v>33</v>
      </c>
      <c r="J23">
        <v>19.46</v>
      </c>
      <c r="K23">
        <v>7</v>
      </c>
      <c r="L23">
        <v>0</v>
      </c>
      <c r="M23">
        <v>5.0595999999999997</v>
      </c>
      <c r="N23" t="str">
        <f t="shared" si="0"/>
        <v>Profit</v>
      </c>
    </row>
    <row r="24" spans="1:14" x14ac:dyDescent="0.3">
      <c r="A24" t="s">
        <v>27</v>
      </c>
      <c r="B24" t="s">
        <v>21</v>
      </c>
      <c r="C24" t="s">
        <v>14</v>
      </c>
      <c r="D24" t="s">
        <v>52</v>
      </c>
      <c r="E24" t="s">
        <v>53</v>
      </c>
      <c r="F24">
        <v>68025</v>
      </c>
      <c r="G24" t="s">
        <v>46</v>
      </c>
      <c r="H24" t="s">
        <v>25</v>
      </c>
      <c r="I24" t="s">
        <v>37</v>
      </c>
      <c r="J24">
        <v>60.34</v>
      </c>
      <c r="K24">
        <v>7</v>
      </c>
      <c r="L24">
        <v>0</v>
      </c>
      <c r="M24">
        <v>15.6884</v>
      </c>
      <c r="N24" t="str">
        <f t="shared" si="0"/>
        <v>Profit</v>
      </c>
    </row>
    <row r="25" spans="1:14" x14ac:dyDescent="0.3">
      <c r="A25" t="s">
        <v>12</v>
      </c>
      <c r="B25" t="s">
        <v>13</v>
      </c>
      <c r="C25" t="s">
        <v>14</v>
      </c>
      <c r="D25" t="s">
        <v>54</v>
      </c>
      <c r="E25" t="s">
        <v>55</v>
      </c>
      <c r="F25">
        <v>19140</v>
      </c>
      <c r="G25" t="s">
        <v>56</v>
      </c>
      <c r="H25" t="s">
        <v>18</v>
      </c>
      <c r="I25" t="s">
        <v>20</v>
      </c>
      <c r="J25">
        <v>71.372</v>
      </c>
      <c r="K25">
        <v>2</v>
      </c>
      <c r="L25">
        <v>0.3</v>
      </c>
      <c r="M25">
        <v>-1.0196000000000001</v>
      </c>
      <c r="N25" t="str">
        <f t="shared" si="0"/>
        <v>Loss</v>
      </c>
    </row>
    <row r="26" spans="1:14" x14ac:dyDescent="0.3">
      <c r="A26" t="s">
        <v>27</v>
      </c>
      <c r="B26" t="s">
        <v>13</v>
      </c>
      <c r="C26" t="s">
        <v>14</v>
      </c>
      <c r="D26" t="s">
        <v>57</v>
      </c>
      <c r="E26" t="s">
        <v>50</v>
      </c>
      <c r="F26">
        <v>84057</v>
      </c>
      <c r="G26" t="s">
        <v>24</v>
      </c>
      <c r="H26" t="s">
        <v>18</v>
      </c>
      <c r="I26" t="s">
        <v>30</v>
      </c>
      <c r="J26">
        <v>1044.6300000000001</v>
      </c>
      <c r="K26">
        <v>3</v>
      </c>
      <c r="L26">
        <v>0</v>
      </c>
      <c r="M26">
        <v>240.26490000000001</v>
      </c>
      <c r="N26" t="str">
        <f t="shared" si="0"/>
        <v>Profit</v>
      </c>
    </row>
    <row r="27" spans="1:14" x14ac:dyDescent="0.3">
      <c r="A27" t="s">
        <v>12</v>
      </c>
      <c r="B27" t="s">
        <v>13</v>
      </c>
      <c r="C27" t="s">
        <v>14</v>
      </c>
      <c r="D27" t="s">
        <v>22</v>
      </c>
      <c r="E27" t="s">
        <v>23</v>
      </c>
      <c r="F27">
        <v>90049</v>
      </c>
      <c r="G27" t="s">
        <v>24</v>
      </c>
      <c r="H27" t="s">
        <v>25</v>
      </c>
      <c r="I27" t="s">
        <v>36</v>
      </c>
      <c r="J27">
        <v>11.648</v>
      </c>
      <c r="K27">
        <v>2</v>
      </c>
      <c r="L27">
        <v>0.2</v>
      </c>
      <c r="M27">
        <v>4.2224000000000004</v>
      </c>
      <c r="N27" t="str">
        <f t="shared" si="0"/>
        <v>Profit</v>
      </c>
    </row>
    <row r="28" spans="1:14" x14ac:dyDescent="0.3">
      <c r="A28" t="s">
        <v>12</v>
      </c>
      <c r="B28" t="s">
        <v>13</v>
      </c>
      <c r="C28" t="s">
        <v>14</v>
      </c>
      <c r="D28" t="s">
        <v>22</v>
      </c>
      <c r="E28" t="s">
        <v>23</v>
      </c>
      <c r="F28">
        <v>90049</v>
      </c>
      <c r="G28" t="s">
        <v>24</v>
      </c>
      <c r="H28" t="s">
        <v>34</v>
      </c>
      <c r="I28" t="s">
        <v>58</v>
      </c>
      <c r="J28">
        <v>90.57</v>
      </c>
      <c r="K28">
        <v>3</v>
      </c>
      <c r="L28">
        <v>0</v>
      </c>
      <c r="M28">
        <v>11.774100000000001</v>
      </c>
      <c r="N28" t="str">
        <f t="shared" si="0"/>
        <v>Profit</v>
      </c>
    </row>
    <row r="29" spans="1:14" x14ac:dyDescent="0.3">
      <c r="A29" t="s">
        <v>27</v>
      </c>
      <c r="B29" t="s">
        <v>13</v>
      </c>
      <c r="C29" t="s">
        <v>14</v>
      </c>
      <c r="D29" t="s">
        <v>54</v>
      </c>
      <c r="E29" t="s">
        <v>55</v>
      </c>
      <c r="F29">
        <v>19140</v>
      </c>
      <c r="G29" t="s">
        <v>56</v>
      </c>
      <c r="H29" t="s">
        <v>18</v>
      </c>
      <c r="I29" t="s">
        <v>19</v>
      </c>
      <c r="J29">
        <v>3083.43</v>
      </c>
      <c r="K29">
        <v>7</v>
      </c>
      <c r="L29">
        <v>0.5</v>
      </c>
      <c r="M29">
        <v>-1665.0522000000001</v>
      </c>
      <c r="N29" t="str">
        <f t="shared" si="0"/>
        <v>Loss</v>
      </c>
    </row>
    <row r="30" spans="1:14" x14ac:dyDescent="0.3">
      <c r="A30" t="s">
        <v>27</v>
      </c>
      <c r="B30" t="s">
        <v>13</v>
      </c>
      <c r="C30" t="s">
        <v>14</v>
      </c>
      <c r="D30" t="s">
        <v>54</v>
      </c>
      <c r="E30" t="s">
        <v>55</v>
      </c>
      <c r="F30">
        <v>19140</v>
      </c>
      <c r="G30" t="s">
        <v>56</v>
      </c>
      <c r="H30" t="s">
        <v>25</v>
      </c>
      <c r="I30" t="s">
        <v>36</v>
      </c>
      <c r="J30">
        <v>9.6180000000000003</v>
      </c>
      <c r="K30">
        <v>2</v>
      </c>
      <c r="L30">
        <v>0.7</v>
      </c>
      <c r="M30">
        <v>-7.0532000000000004</v>
      </c>
      <c r="N30" t="str">
        <f t="shared" si="0"/>
        <v>Loss</v>
      </c>
    </row>
    <row r="31" spans="1:14" x14ac:dyDescent="0.3">
      <c r="A31" t="s">
        <v>27</v>
      </c>
      <c r="B31" t="s">
        <v>13</v>
      </c>
      <c r="C31" t="s">
        <v>14</v>
      </c>
      <c r="D31" t="s">
        <v>54</v>
      </c>
      <c r="E31" t="s">
        <v>55</v>
      </c>
      <c r="F31">
        <v>19140</v>
      </c>
      <c r="G31" t="s">
        <v>56</v>
      </c>
      <c r="H31" t="s">
        <v>18</v>
      </c>
      <c r="I31" t="s">
        <v>32</v>
      </c>
      <c r="J31">
        <v>124.2</v>
      </c>
      <c r="K31">
        <v>3</v>
      </c>
      <c r="L31">
        <v>0.2</v>
      </c>
      <c r="M31">
        <v>15.525</v>
      </c>
      <c r="N31" t="str">
        <f t="shared" si="0"/>
        <v>Profit</v>
      </c>
    </row>
    <row r="32" spans="1:14" x14ac:dyDescent="0.3">
      <c r="A32" t="s">
        <v>27</v>
      </c>
      <c r="B32" t="s">
        <v>13</v>
      </c>
      <c r="C32" t="s">
        <v>14</v>
      </c>
      <c r="D32" t="s">
        <v>54</v>
      </c>
      <c r="E32" t="s">
        <v>55</v>
      </c>
      <c r="F32">
        <v>19140</v>
      </c>
      <c r="G32" t="s">
        <v>56</v>
      </c>
      <c r="H32" t="s">
        <v>25</v>
      </c>
      <c r="I32" t="s">
        <v>59</v>
      </c>
      <c r="J32">
        <v>3.2639999999999998</v>
      </c>
      <c r="K32">
        <v>2</v>
      </c>
      <c r="L32">
        <v>0.2</v>
      </c>
      <c r="M32">
        <v>1.1015999999999999</v>
      </c>
      <c r="N32" t="str">
        <f t="shared" si="0"/>
        <v>Profit</v>
      </c>
    </row>
    <row r="33" spans="1:14" x14ac:dyDescent="0.3">
      <c r="A33" t="s">
        <v>27</v>
      </c>
      <c r="B33" t="s">
        <v>13</v>
      </c>
      <c r="C33" t="s">
        <v>14</v>
      </c>
      <c r="D33" t="s">
        <v>54</v>
      </c>
      <c r="E33" t="s">
        <v>55</v>
      </c>
      <c r="F33">
        <v>19140</v>
      </c>
      <c r="G33" t="s">
        <v>56</v>
      </c>
      <c r="H33" t="s">
        <v>25</v>
      </c>
      <c r="I33" t="s">
        <v>33</v>
      </c>
      <c r="J33">
        <v>86.304000000000002</v>
      </c>
      <c r="K33">
        <v>6</v>
      </c>
      <c r="L33">
        <v>0.2</v>
      </c>
      <c r="M33">
        <v>9.7091999999999992</v>
      </c>
      <c r="N33" t="str">
        <f t="shared" si="0"/>
        <v>Profit</v>
      </c>
    </row>
    <row r="34" spans="1:14" x14ac:dyDescent="0.3">
      <c r="A34" t="s">
        <v>27</v>
      </c>
      <c r="B34" t="s">
        <v>13</v>
      </c>
      <c r="C34" t="s">
        <v>14</v>
      </c>
      <c r="D34" t="s">
        <v>54</v>
      </c>
      <c r="E34" t="s">
        <v>55</v>
      </c>
      <c r="F34">
        <v>19140</v>
      </c>
      <c r="G34" t="s">
        <v>56</v>
      </c>
      <c r="H34" t="s">
        <v>25</v>
      </c>
      <c r="I34" t="s">
        <v>36</v>
      </c>
      <c r="J34">
        <v>6.8579999999999997</v>
      </c>
      <c r="K34">
        <v>6</v>
      </c>
      <c r="L34">
        <v>0.7</v>
      </c>
      <c r="M34">
        <v>-5.7149999999999999</v>
      </c>
      <c r="N34" t="str">
        <f t="shared" ref="N34:N65" si="1">IF(M34&gt;0,"Profit","Loss")</f>
        <v>Loss</v>
      </c>
    </row>
    <row r="35" spans="1:14" x14ac:dyDescent="0.3">
      <c r="A35" t="s">
        <v>27</v>
      </c>
      <c r="B35" t="s">
        <v>13</v>
      </c>
      <c r="C35" t="s">
        <v>14</v>
      </c>
      <c r="D35" t="s">
        <v>54</v>
      </c>
      <c r="E35" t="s">
        <v>55</v>
      </c>
      <c r="F35">
        <v>19140</v>
      </c>
      <c r="G35" t="s">
        <v>56</v>
      </c>
      <c r="H35" t="s">
        <v>25</v>
      </c>
      <c r="I35" t="s">
        <v>33</v>
      </c>
      <c r="J35">
        <v>15.76</v>
      </c>
      <c r="K35">
        <v>2</v>
      </c>
      <c r="L35">
        <v>0.2</v>
      </c>
      <c r="M35">
        <v>3.5459999999999998</v>
      </c>
      <c r="N35" t="str">
        <f t="shared" si="1"/>
        <v>Profit</v>
      </c>
    </row>
    <row r="36" spans="1:14" x14ac:dyDescent="0.3">
      <c r="A36" t="s">
        <v>12</v>
      </c>
      <c r="B36" t="s">
        <v>43</v>
      </c>
      <c r="C36" t="s">
        <v>14</v>
      </c>
      <c r="D36" t="s">
        <v>60</v>
      </c>
      <c r="E36" t="s">
        <v>45</v>
      </c>
      <c r="F36">
        <v>77095</v>
      </c>
      <c r="G36" t="s">
        <v>46</v>
      </c>
      <c r="H36" t="s">
        <v>25</v>
      </c>
      <c r="I36" t="s">
        <v>40</v>
      </c>
      <c r="J36">
        <v>29.472000000000001</v>
      </c>
      <c r="K36">
        <v>3</v>
      </c>
      <c r="L36">
        <v>0.2</v>
      </c>
      <c r="M36">
        <v>9.9467999999999996</v>
      </c>
      <c r="N36" t="str">
        <f t="shared" si="1"/>
        <v>Profit</v>
      </c>
    </row>
    <row r="37" spans="1:14" x14ac:dyDescent="0.3">
      <c r="A37" t="s">
        <v>61</v>
      </c>
      <c r="B37" t="s">
        <v>21</v>
      </c>
      <c r="C37" t="s">
        <v>14</v>
      </c>
      <c r="D37" t="s">
        <v>62</v>
      </c>
      <c r="E37" t="s">
        <v>45</v>
      </c>
      <c r="F37">
        <v>75080</v>
      </c>
      <c r="G37" t="s">
        <v>46</v>
      </c>
      <c r="H37" t="s">
        <v>34</v>
      </c>
      <c r="I37" t="s">
        <v>35</v>
      </c>
      <c r="J37">
        <v>1097.5440000000001</v>
      </c>
      <c r="K37">
        <v>7</v>
      </c>
      <c r="L37">
        <v>0.2</v>
      </c>
      <c r="M37">
        <v>123.47369999999999</v>
      </c>
      <c r="N37" t="str">
        <f t="shared" si="1"/>
        <v>Profit</v>
      </c>
    </row>
    <row r="38" spans="1:14" x14ac:dyDescent="0.3">
      <c r="A38" t="s">
        <v>61</v>
      </c>
      <c r="B38" t="s">
        <v>21</v>
      </c>
      <c r="C38" t="s">
        <v>14</v>
      </c>
      <c r="D38" t="s">
        <v>62</v>
      </c>
      <c r="E38" t="s">
        <v>45</v>
      </c>
      <c r="F38">
        <v>75080</v>
      </c>
      <c r="G38" t="s">
        <v>46</v>
      </c>
      <c r="H38" t="s">
        <v>18</v>
      </c>
      <c r="I38" t="s">
        <v>32</v>
      </c>
      <c r="J38">
        <v>190.92</v>
      </c>
      <c r="K38">
        <v>5</v>
      </c>
      <c r="L38">
        <v>0.6</v>
      </c>
      <c r="M38">
        <v>-147.96299999999999</v>
      </c>
      <c r="N38" t="str">
        <f t="shared" si="1"/>
        <v>Loss</v>
      </c>
    </row>
    <row r="39" spans="1:14" x14ac:dyDescent="0.3">
      <c r="A39" t="s">
        <v>27</v>
      </c>
      <c r="B39" t="s">
        <v>43</v>
      </c>
      <c r="C39" t="s">
        <v>14</v>
      </c>
      <c r="D39" t="s">
        <v>60</v>
      </c>
      <c r="E39" t="s">
        <v>45</v>
      </c>
      <c r="F39">
        <v>77041</v>
      </c>
      <c r="G39" t="s">
        <v>46</v>
      </c>
      <c r="H39" t="s">
        <v>25</v>
      </c>
      <c r="I39" t="s">
        <v>59</v>
      </c>
      <c r="J39">
        <v>113.328</v>
      </c>
      <c r="K39">
        <v>9</v>
      </c>
      <c r="L39">
        <v>0.2</v>
      </c>
      <c r="M39">
        <v>35.414999999999999</v>
      </c>
      <c r="N39" t="str">
        <f t="shared" si="1"/>
        <v>Profit</v>
      </c>
    </row>
    <row r="40" spans="1:14" x14ac:dyDescent="0.3">
      <c r="A40" t="s">
        <v>27</v>
      </c>
      <c r="B40" t="s">
        <v>43</v>
      </c>
      <c r="C40" t="s">
        <v>14</v>
      </c>
      <c r="D40" t="s">
        <v>60</v>
      </c>
      <c r="E40" t="s">
        <v>45</v>
      </c>
      <c r="F40">
        <v>77041</v>
      </c>
      <c r="G40" t="s">
        <v>46</v>
      </c>
      <c r="H40" t="s">
        <v>18</v>
      </c>
      <c r="I40" t="s">
        <v>19</v>
      </c>
      <c r="J40">
        <v>532.39919999999995</v>
      </c>
      <c r="K40">
        <v>3</v>
      </c>
      <c r="L40">
        <v>0.32</v>
      </c>
      <c r="M40">
        <v>-46.976399999999998</v>
      </c>
      <c r="N40" t="str">
        <f t="shared" si="1"/>
        <v>Loss</v>
      </c>
    </row>
    <row r="41" spans="1:14" x14ac:dyDescent="0.3">
      <c r="A41" t="s">
        <v>27</v>
      </c>
      <c r="B41" t="s">
        <v>43</v>
      </c>
      <c r="C41" t="s">
        <v>14</v>
      </c>
      <c r="D41" t="s">
        <v>60</v>
      </c>
      <c r="E41" t="s">
        <v>45</v>
      </c>
      <c r="F41">
        <v>77041</v>
      </c>
      <c r="G41" t="s">
        <v>46</v>
      </c>
      <c r="H41" t="s">
        <v>18</v>
      </c>
      <c r="I41" t="s">
        <v>20</v>
      </c>
      <c r="J41">
        <v>212.05799999999999</v>
      </c>
      <c r="K41">
        <v>3</v>
      </c>
      <c r="L41">
        <v>0.3</v>
      </c>
      <c r="M41">
        <v>-15.147</v>
      </c>
      <c r="N41" t="str">
        <f t="shared" si="1"/>
        <v>Loss</v>
      </c>
    </row>
    <row r="42" spans="1:14" x14ac:dyDescent="0.3">
      <c r="A42" t="s">
        <v>27</v>
      </c>
      <c r="B42" t="s">
        <v>43</v>
      </c>
      <c r="C42" t="s">
        <v>14</v>
      </c>
      <c r="D42" t="s">
        <v>60</v>
      </c>
      <c r="E42" t="s">
        <v>45</v>
      </c>
      <c r="F42">
        <v>77041</v>
      </c>
      <c r="G42" t="s">
        <v>46</v>
      </c>
      <c r="H42" t="s">
        <v>34</v>
      </c>
      <c r="I42" t="s">
        <v>35</v>
      </c>
      <c r="J42">
        <v>371.16800000000001</v>
      </c>
      <c r="K42">
        <v>4</v>
      </c>
      <c r="L42">
        <v>0.2</v>
      </c>
      <c r="M42">
        <v>41.756399999999999</v>
      </c>
      <c r="N42" t="str">
        <f t="shared" si="1"/>
        <v>Profit</v>
      </c>
    </row>
    <row r="43" spans="1:14" x14ac:dyDescent="0.3">
      <c r="A43" t="s">
        <v>27</v>
      </c>
      <c r="B43" t="s">
        <v>21</v>
      </c>
      <c r="C43" t="s">
        <v>14</v>
      </c>
      <c r="D43" t="s">
        <v>63</v>
      </c>
      <c r="E43" t="s">
        <v>64</v>
      </c>
      <c r="F43">
        <v>60540</v>
      </c>
      <c r="G43" t="s">
        <v>46</v>
      </c>
      <c r="H43" t="s">
        <v>34</v>
      </c>
      <c r="I43" t="s">
        <v>35</v>
      </c>
      <c r="J43">
        <v>147.16800000000001</v>
      </c>
      <c r="K43">
        <v>4</v>
      </c>
      <c r="L43">
        <v>0.2</v>
      </c>
      <c r="M43">
        <v>16.5564</v>
      </c>
      <c r="N43" t="str">
        <f t="shared" si="1"/>
        <v>Profit</v>
      </c>
    </row>
    <row r="44" spans="1:14" x14ac:dyDescent="0.3">
      <c r="A44" t="s">
        <v>27</v>
      </c>
      <c r="B44" t="s">
        <v>21</v>
      </c>
      <c r="C44" t="s">
        <v>14</v>
      </c>
      <c r="D44" t="s">
        <v>22</v>
      </c>
      <c r="E44" t="s">
        <v>23</v>
      </c>
      <c r="F44">
        <v>90049</v>
      </c>
      <c r="G44" t="s">
        <v>24</v>
      </c>
      <c r="H44" t="s">
        <v>25</v>
      </c>
      <c r="I44" t="s">
        <v>31</v>
      </c>
      <c r="J44">
        <v>77.88</v>
      </c>
      <c r="K44">
        <v>2</v>
      </c>
      <c r="L44">
        <v>0</v>
      </c>
      <c r="M44">
        <v>3.8940000000000001</v>
      </c>
      <c r="N44" t="str">
        <f t="shared" si="1"/>
        <v>Profit</v>
      </c>
    </row>
    <row r="45" spans="1:14" x14ac:dyDescent="0.3">
      <c r="A45" t="s">
        <v>27</v>
      </c>
      <c r="B45" t="s">
        <v>21</v>
      </c>
      <c r="C45" t="s">
        <v>14</v>
      </c>
      <c r="D45" t="s">
        <v>65</v>
      </c>
      <c r="E45" t="s">
        <v>29</v>
      </c>
      <c r="F45">
        <v>32935</v>
      </c>
      <c r="G45" t="s">
        <v>17</v>
      </c>
      <c r="H45" t="s">
        <v>25</v>
      </c>
      <c r="I45" t="s">
        <v>31</v>
      </c>
      <c r="J45">
        <v>95.616</v>
      </c>
      <c r="K45">
        <v>2</v>
      </c>
      <c r="L45">
        <v>0.2</v>
      </c>
      <c r="M45">
        <v>9.5616000000000003</v>
      </c>
      <c r="N45" t="str">
        <f t="shared" si="1"/>
        <v>Profit</v>
      </c>
    </row>
    <row r="46" spans="1:14" x14ac:dyDescent="0.3">
      <c r="A46" t="s">
        <v>61</v>
      </c>
      <c r="B46" t="s">
        <v>21</v>
      </c>
      <c r="C46" t="s">
        <v>14</v>
      </c>
      <c r="D46" t="s">
        <v>66</v>
      </c>
      <c r="E46" t="s">
        <v>67</v>
      </c>
      <c r="F46">
        <v>55122</v>
      </c>
      <c r="G46" t="s">
        <v>46</v>
      </c>
      <c r="H46" t="s">
        <v>34</v>
      </c>
      <c r="I46" t="s">
        <v>58</v>
      </c>
      <c r="J46">
        <v>45.98</v>
      </c>
      <c r="K46">
        <v>2</v>
      </c>
      <c r="L46">
        <v>0</v>
      </c>
      <c r="M46">
        <v>19.7714</v>
      </c>
      <c r="N46" t="str">
        <f t="shared" si="1"/>
        <v>Profit</v>
      </c>
    </row>
    <row r="47" spans="1:14" x14ac:dyDescent="0.3">
      <c r="A47" t="s">
        <v>61</v>
      </c>
      <c r="B47" t="s">
        <v>21</v>
      </c>
      <c r="C47" t="s">
        <v>14</v>
      </c>
      <c r="D47" t="s">
        <v>66</v>
      </c>
      <c r="E47" t="s">
        <v>67</v>
      </c>
      <c r="F47">
        <v>55122</v>
      </c>
      <c r="G47" t="s">
        <v>46</v>
      </c>
      <c r="H47" t="s">
        <v>25</v>
      </c>
      <c r="I47" t="s">
        <v>36</v>
      </c>
      <c r="J47">
        <v>17.46</v>
      </c>
      <c r="K47">
        <v>2</v>
      </c>
      <c r="L47">
        <v>0</v>
      </c>
      <c r="M47">
        <v>8.2062000000000008</v>
      </c>
      <c r="N47" t="str">
        <f t="shared" si="1"/>
        <v>Profit</v>
      </c>
    </row>
    <row r="48" spans="1:14" x14ac:dyDescent="0.3">
      <c r="A48" t="s">
        <v>12</v>
      </c>
      <c r="B48" t="s">
        <v>13</v>
      </c>
      <c r="C48" t="s">
        <v>14</v>
      </c>
      <c r="D48" t="s">
        <v>68</v>
      </c>
      <c r="E48" t="s">
        <v>69</v>
      </c>
      <c r="F48">
        <v>48185</v>
      </c>
      <c r="G48" t="s">
        <v>46</v>
      </c>
      <c r="H48" t="s">
        <v>25</v>
      </c>
      <c r="I48" t="s">
        <v>31</v>
      </c>
      <c r="J48">
        <v>211.96</v>
      </c>
      <c r="K48">
        <v>4</v>
      </c>
      <c r="L48">
        <v>0</v>
      </c>
      <c r="M48">
        <v>8.4784000000000006</v>
      </c>
      <c r="N48" t="str">
        <f t="shared" si="1"/>
        <v>Profit</v>
      </c>
    </row>
    <row r="49" spans="1:14" x14ac:dyDescent="0.3">
      <c r="A49" t="s">
        <v>27</v>
      </c>
      <c r="B49" t="s">
        <v>13</v>
      </c>
      <c r="C49" t="s">
        <v>14</v>
      </c>
      <c r="D49" t="s">
        <v>70</v>
      </c>
      <c r="E49" t="s">
        <v>71</v>
      </c>
      <c r="F49">
        <v>19901</v>
      </c>
      <c r="G49" t="s">
        <v>56</v>
      </c>
      <c r="H49" t="s">
        <v>34</v>
      </c>
      <c r="I49" t="s">
        <v>58</v>
      </c>
      <c r="J49">
        <v>45</v>
      </c>
      <c r="K49">
        <v>3</v>
      </c>
      <c r="L49">
        <v>0</v>
      </c>
      <c r="M49">
        <v>4.95</v>
      </c>
      <c r="N49" t="str">
        <f t="shared" si="1"/>
        <v>Profit</v>
      </c>
    </row>
    <row r="50" spans="1:14" x14ac:dyDescent="0.3">
      <c r="A50" t="s">
        <v>27</v>
      </c>
      <c r="B50" t="s">
        <v>13</v>
      </c>
      <c r="C50" t="s">
        <v>14</v>
      </c>
      <c r="D50" t="s">
        <v>70</v>
      </c>
      <c r="E50" t="s">
        <v>71</v>
      </c>
      <c r="F50">
        <v>19901</v>
      </c>
      <c r="G50" t="s">
        <v>56</v>
      </c>
      <c r="H50" t="s">
        <v>34</v>
      </c>
      <c r="I50" t="s">
        <v>35</v>
      </c>
      <c r="J50">
        <v>21.8</v>
      </c>
      <c r="K50">
        <v>2</v>
      </c>
      <c r="L50">
        <v>0</v>
      </c>
      <c r="M50">
        <v>6.1040000000000001</v>
      </c>
      <c r="N50" t="str">
        <f t="shared" si="1"/>
        <v>Profit</v>
      </c>
    </row>
    <row r="51" spans="1:14" x14ac:dyDescent="0.3">
      <c r="A51" t="s">
        <v>27</v>
      </c>
      <c r="B51" t="s">
        <v>13</v>
      </c>
      <c r="C51" t="s">
        <v>14</v>
      </c>
      <c r="D51" t="s">
        <v>72</v>
      </c>
      <c r="E51" t="s">
        <v>73</v>
      </c>
      <c r="F51">
        <v>47150</v>
      </c>
      <c r="G51" t="s">
        <v>46</v>
      </c>
      <c r="H51" t="s">
        <v>25</v>
      </c>
      <c r="I51" t="s">
        <v>36</v>
      </c>
      <c r="J51">
        <v>38.22</v>
      </c>
      <c r="K51">
        <v>6</v>
      </c>
      <c r="L51">
        <v>0</v>
      </c>
      <c r="M51">
        <v>17.9634</v>
      </c>
      <c r="N51" t="str">
        <f t="shared" si="1"/>
        <v>Profit</v>
      </c>
    </row>
    <row r="52" spans="1:14" x14ac:dyDescent="0.3">
      <c r="A52" t="s">
        <v>27</v>
      </c>
      <c r="B52" t="s">
        <v>13</v>
      </c>
      <c r="C52" t="s">
        <v>14</v>
      </c>
      <c r="D52" t="s">
        <v>72</v>
      </c>
      <c r="E52" t="s">
        <v>73</v>
      </c>
      <c r="F52">
        <v>47150</v>
      </c>
      <c r="G52" t="s">
        <v>46</v>
      </c>
      <c r="H52" t="s">
        <v>25</v>
      </c>
      <c r="I52" t="s">
        <v>26</v>
      </c>
      <c r="J52">
        <v>75.180000000000007</v>
      </c>
      <c r="K52">
        <v>6</v>
      </c>
      <c r="L52">
        <v>0</v>
      </c>
      <c r="M52">
        <v>35.334600000000002</v>
      </c>
      <c r="N52" t="str">
        <f t="shared" si="1"/>
        <v>Profit</v>
      </c>
    </row>
    <row r="53" spans="1:14" x14ac:dyDescent="0.3">
      <c r="A53" t="s">
        <v>27</v>
      </c>
      <c r="B53" t="s">
        <v>13</v>
      </c>
      <c r="C53" t="s">
        <v>14</v>
      </c>
      <c r="D53" t="s">
        <v>72</v>
      </c>
      <c r="E53" t="s">
        <v>73</v>
      </c>
      <c r="F53">
        <v>47150</v>
      </c>
      <c r="G53" t="s">
        <v>46</v>
      </c>
      <c r="H53" t="s">
        <v>18</v>
      </c>
      <c r="I53" t="s">
        <v>32</v>
      </c>
      <c r="J53">
        <v>6.16</v>
      </c>
      <c r="K53">
        <v>2</v>
      </c>
      <c r="L53">
        <v>0</v>
      </c>
      <c r="M53">
        <v>2.9567999999999999</v>
      </c>
      <c r="N53" t="str">
        <f t="shared" si="1"/>
        <v>Profit</v>
      </c>
    </row>
    <row r="54" spans="1:14" x14ac:dyDescent="0.3">
      <c r="A54" t="s">
        <v>27</v>
      </c>
      <c r="B54" t="s">
        <v>13</v>
      </c>
      <c r="C54" t="s">
        <v>14</v>
      </c>
      <c r="D54" t="s">
        <v>72</v>
      </c>
      <c r="E54" t="s">
        <v>73</v>
      </c>
      <c r="F54">
        <v>47150</v>
      </c>
      <c r="G54" t="s">
        <v>46</v>
      </c>
      <c r="H54" t="s">
        <v>18</v>
      </c>
      <c r="I54" t="s">
        <v>20</v>
      </c>
      <c r="J54">
        <v>89.99</v>
      </c>
      <c r="K54">
        <v>1</v>
      </c>
      <c r="L54">
        <v>0</v>
      </c>
      <c r="M54">
        <v>17.098099999999999</v>
      </c>
      <c r="N54" t="str">
        <f t="shared" si="1"/>
        <v>Profit</v>
      </c>
    </row>
    <row r="55" spans="1:14" x14ac:dyDescent="0.3">
      <c r="A55" t="s">
        <v>27</v>
      </c>
      <c r="B55" t="s">
        <v>21</v>
      </c>
      <c r="C55" t="s">
        <v>14</v>
      </c>
      <c r="D55" t="s">
        <v>74</v>
      </c>
      <c r="E55" t="s">
        <v>75</v>
      </c>
      <c r="F55">
        <v>10024</v>
      </c>
      <c r="G55" t="s">
        <v>56</v>
      </c>
      <c r="H55" t="s">
        <v>25</v>
      </c>
      <c r="I55" t="s">
        <v>76</v>
      </c>
      <c r="J55">
        <v>15.26</v>
      </c>
      <c r="K55">
        <v>7</v>
      </c>
      <c r="L55">
        <v>0</v>
      </c>
      <c r="M55">
        <v>6.2565999999999997</v>
      </c>
      <c r="N55" t="str">
        <f t="shared" si="1"/>
        <v>Profit</v>
      </c>
    </row>
    <row r="56" spans="1:14" x14ac:dyDescent="0.3">
      <c r="A56" t="s">
        <v>27</v>
      </c>
      <c r="B56" t="s">
        <v>21</v>
      </c>
      <c r="C56" t="s">
        <v>14</v>
      </c>
      <c r="D56" t="s">
        <v>74</v>
      </c>
      <c r="E56" t="s">
        <v>75</v>
      </c>
      <c r="F56">
        <v>10024</v>
      </c>
      <c r="G56" t="s">
        <v>56</v>
      </c>
      <c r="H56" t="s">
        <v>34</v>
      </c>
      <c r="I56" t="s">
        <v>35</v>
      </c>
      <c r="J56">
        <v>1029.95</v>
      </c>
      <c r="K56">
        <v>5</v>
      </c>
      <c r="L56">
        <v>0</v>
      </c>
      <c r="M56">
        <v>298.68549999999999</v>
      </c>
      <c r="N56" t="str">
        <f t="shared" si="1"/>
        <v>Profit</v>
      </c>
    </row>
    <row r="57" spans="1:14" x14ac:dyDescent="0.3">
      <c r="A57" t="s">
        <v>61</v>
      </c>
      <c r="B57" t="s">
        <v>13</v>
      </c>
      <c r="C57" t="s">
        <v>14</v>
      </c>
      <c r="D57" t="s">
        <v>77</v>
      </c>
      <c r="E57" t="s">
        <v>75</v>
      </c>
      <c r="F57">
        <v>12180</v>
      </c>
      <c r="G57" t="s">
        <v>56</v>
      </c>
      <c r="H57" t="s">
        <v>25</v>
      </c>
      <c r="I57" t="s">
        <v>31</v>
      </c>
      <c r="J57">
        <v>208.56</v>
      </c>
      <c r="K57">
        <v>6</v>
      </c>
      <c r="L57">
        <v>0</v>
      </c>
      <c r="M57">
        <v>52.14</v>
      </c>
      <c r="N57" t="str">
        <f t="shared" si="1"/>
        <v>Profit</v>
      </c>
    </row>
    <row r="58" spans="1:14" x14ac:dyDescent="0.3">
      <c r="A58" t="s">
        <v>61</v>
      </c>
      <c r="B58" t="s">
        <v>13</v>
      </c>
      <c r="C58" t="s">
        <v>14</v>
      </c>
      <c r="D58" t="s">
        <v>77</v>
      </c>
      <c r="E58" t="s">
        <v>75</v>
      </c>
      <c r="F58">
        <v>12180</v>
      </c>
      <c r="G58" t="s">
        <v>56</v>
      </c>
      <c r="H58" t="s">
        <v>25</v>
      </c>
      <c r="I58" t="s">
        <v>40</v>
      </c>
      <c r="J58">
        <v>32.4</v>
      </c>
      <c r="K58">
        <v>5</v>
      </c>
      <c r="L58">
        <v>0</v>
      </c>
      <c r="M58">
        <v>15.552</v>
      </c>
      <c r="N58" t="str">
        <f t="shared" si="1"/>
        <v>Profit</v>
      </c>
    </row>
    <row r="59" spans="1:14" x14ac:dyDescent="0.3">
      <c r="A59" t="s">
        <v>61</v>
      </c>
      <c r="B59" t="s">
        <v>13</v>
      </c>
      <c r="C59" t="s">
        <v>14</v>
      </c>
      <c r="D59" t="s">
        <v>77</v>
      </c>
      <c r="E59" t="s">
        <v>75</v>
      </c>
      <c r="F59">
        <v>12180</v>
      </c>
      <c r="G59" t="s">
        <v>56</v>
      </c>
      <c r="H59" t="s">
        <v>18</v>
      </c>
      <c r="I59" t="s">
        <v>20</v>
      </c>
      <c r="J59">
        <v>319.41000000000003</v>
      </c>
      <c r="K59">
        <v>5</v>
      </c>
      <c r="L59">
        <v>0.1</v>
      </c>
      <c r="M59">
        <v>7.0979999999999999</v>
      </c>
      <c r="N59" t="str">
        <f t="shared" si="1"/>
        <v>Profit</v>
      </c>
    </row>
    <row r="60" spans="1:14" x14ac:dyDescent="0.3">
      <c r="A60" t="s">
        <v>61</v>
      </c>
      <c r="B60" t="s">
        <v>13</v>
      </c>
      <c r="C60" t="s">
        <v>14</v>
      </c>
      <c r="D60" t="s">
        <v>77</v>
      </c>
      <c r="E60" t="s">
        <v>75</v>
      </c>
      <c r="F60">
        <v>12180</v>
      </c>
      <c r="G60" t="s">
        <v>56</v>
      </c>
      <c r="H60" t="s">
        <v>25</v>
      </c>
      <c r="I60" t="s">
        <v>40</v>
      </c>
      <c r="J60">
        <v>14.56</v>
      </c>
      <c r="K60">
        <v>2</v>
      </c>
      <c r="L60">
        <v>0</v>
      </c>
      <c r="M60">
        <v>6.9888000000000003</v>
      </c>
      <c r="N60" t="str">
        <f t="shared" si="1"/>
        <v>Profit</v>
      </c>
    </row>
    <row r="61" spans="1:14" x14ac:dyDescent="0.3">
      <c r="A61" t="s">
        <v>61</v>
      </c>
      <c r="B61" t="s">
        <v>13</v>
      </c>
      <c r="C61" t="s">
        <v>14</v>
      </c>
      <c r="D61" t="s">
        <v>77</v>
      </c>
      <c r="E61" t="s">
        <v>75</v>
      </c>
      <c r="F61">
        <v>12180</v>
      </c>
      <c r="G61" t="s">
        <v>56</v>
      </c>
      <c r="H61" t="s">
        <v>34</v>
      </c>
      <c r="I61" t="s">
        <v>58</v>
      </c>
      <c r="J61">
        <v>30</v>
      </c>
      <c r="K61">
        <v>2</v>
      </c>
      <c r="L61">
        <v>0</v>
      </c>
      <c r="M61">
        <v>3.3</v>
      </c>
      <c r="N61" t="str">
        <f t="shared" si="1"/>
        <v>Profit</v>
      </c>
    </row>
    <row r="62" spans="1:14" x14ac:dyDescent="0.3">
      <c r="A62" t="s">
        <v>61</v>
      </c>
      <c r="B62" t="s">
        <v>13</v>
      </c>
      <c r="C62" t="s">
        <v>14</v>
      </c>
      <c r="D62" t="s">
        <v>77</v>
      </c>
      <c r="E62" t="s">
        <v>75</v>
      </c>
      <c r="F62">
        <v>12180</v>
      </c>
      <c r="G62" t="s">
        <v>56</v>
      </c>
      <c r="H62" t="s">
        <v>25</v>
      </c>
      <c r="I62" t="s">
        <v>36</v>
      </c>
      <c r="J62">
        <v>48.48</v>
      </c>
      <c r="K62">
        <v>4</v>
      </c>
      <c r="L62">
        <v>0.2</v>
      </c>
      <c r="M62">
        <v>16.361999999999998</v>
      </c>
      <c r="N62" t="str">
        <f t="shared" si="1"/>
        <v>Profit</v>
      </c>
    </row>
    <row r="63" spans="1:14" x14ac:dyDescent="0.3">
      <c r="A63" t="s">
        <v>61</v>
      </c>
      <c r="B63" t="s">
        <v>13</v>
      </c>
      <c r="C63" t="s">
        <v>14</v>
      </c>
      <c r="D63" t="s">
        <v>77</v>
      </c>
      <c r="E63" t="s">
        <v>75</v>
      </c>
      <c r="F63">
        <v>12180</v>
      </c>
      <c r="G63" t="s">
        <v>56</v>
      </c>
      <c r="H63" t="s">
        <v>25</v>
      </c>
      <c r="I63" t="s">
        <v>33</v>
      </c>
      <c r="J63">
        <v>1.68</v>
      </c>
      <c r="K63">
        <v>1</v>
      </c>
      <c r="L63">
        <v>0</v>
      </c>
      <c r="M63">
        <v>0.84</v>
      </c>
      <c r="N63" t="str">
        <f t="shared" si="1"/>
        <v>Profit</v>
      </c>
    </row>
    <row r="64" spans="1:14" x14ac:dyDescent="0.3">
      <c r="A64" t="s">
        <v>27</v>
      </c>
      <c r="B64" t="s">
        <v>13</v>
      </c>
      <c r="C64" t="s">
        <v>14</v>
      </c>
      <c r="D64" t="s">
        <v>22</v>
      </c>
      <c r="E64" t="s">
        <v>23</v>
      </c>
      <c r="F64">
        <v>90004</v>
      </c>
      <c r="G64" t="s">
        <v>24</v>
      </c>
      <c r="H64" t="s">
        <v>34</v>
      </c>
      <c r="I64" t="s">
        <v>58</v>
      </c>
      <c r="J64">
        <v>13.98</v>
      </c>
      <c r="K64">
        <v>2</v>
      </c>
      <c r="L64">
        <v>0</v>
      </c>
      <c r="M64">
        <v>6.1512000000000002</v>
      </c>
      <c r="N64" t="str">
        <f t="shared" si="1"/>
        <v>Profit</v>
      </c>
    </row>
    <row r="65" spans="1:14" x14ac:dyDescent="0.3">
      <c r="A65" t="s">
        <v>27</v>
      </c>
      <c r="B65" t="s">
        <v>13</v>
      </c>
      <c r="C65" t="s">
        <v>14</v>
      </c>
      <c r="D65" t="s">
        <v>22</v>
      </c>
      <c r="E65" t="s">
        <v>23</v>
      </c>
      <c r="F65">
        <v>90004</v>
      </c>
      <c r="G65" t="s">
        <v>24</v>
      </c>
      <c r="H65" t="s">
        <v>25</v>
      </c>
      <c r="I65" t="s">
        <v>36</v>
      </c>
      <c r="J65">
        <v>25.824000000000002</v>
      </c>
      <c r="K65">
        <v>6</v>
      </c>
      <c r="L65">
        <v>0.2</v>
      </c>
      <c r="M65">
        <v>9.3612000000000002</v>
      </c>
      <c r="N65" t="str">
        <f t="shared" si="1"/>
        <v>Profit</v>
      </c>
    </row>
    <row r="66" spans="1:14" x14ac:dyDescent="0.3">
      <c r="A66" t="s">
        <v>27</v>
      </c>
      <c r="B66" t="s">
        <v>13</v>
      </c>
      <c r="C66" t="s">
        <v>14</v>
      </c>
      <c r="D66" t="s">
        <v>22</v>
      </c>
      <c r="E66" t="s">
        <v>23</v>
      </c>
      <c r="F66">
        <v>90004</v>
      </c>
      <c r="G66" t="s">
        <v>24</v>
      </c>
      <c r="H66" t="s">
        <v>25</v>
      </c>
      <c r="I66" t="s">
        <v>40</v>
      </c>
      <c r="J66">
        <v>146.72999999999999</v>
      </c>
      <c r="K66">
        <v>3</v>
      </c>
      <c r="L66">
        <v>0</v>
      </c>
      <c r="M66">
        <v>68.963099999999997</v>
      </c>
      <c r="N66" t="str">
        <f t="shared" ref="N66:N97" si="2">IF(M66&gt;0,"Profit","Loss")</f>
        <v>Profit</v>
      </c>
    </row>
    <row r="67" spans="1:14" x14ac:dyDescent="0.3">
      <c r="A67" t="s">
        <v>27</v>
      </c>
      <c r="B67" t="s">
        <v>13</v>
      </c>
      <c r="C67" t="s">
        <v>14</v>
      </c>
      <c r="D67" t="s">
        <v>22</v>
      </c>
      <c r="E67" t="s">
        <v>23</v>
      </c>
      <c r="F67">
        <v>90004</v>
      </c>
      <c r="G67" t="s">
        <v>24</v>
      </c>
      <c r="H67" t="s">
        <v>18</v>
      </c>
      <c r="I67" t="s">
        <v>32</v>
      </c>
      <c r="J67">
        <v>79.760000000000005</v>
      </c>
      <c r="K67">
        <v>4</v>
      </c>
      <c r="L67">
        <v>0</v>
      </c>
      <c r="M67">
        <v>22.332799999999999</v>
      </c>
      <c r="N67" t="str">
        <f t="shared" si="2"/>
        <v>Profit</v>
      </c>
    </row>
    <row r="68" spans="1:14" x14ac:dyDescent="0.3">
      <c r="A68" t="s">
        <v>27</v>
      </c>
      <c r="B68" t="s">
        <v>43</v>
      </c>
      <c r="C68" t="s">
        <v>14</v>
      </c>
      <c r="D68" t="s">
        <v>78</v>
      </c>
      <c r="E68" t="s">
        <v>64</v>
      </c>
      <c r="F68">
        <v>60610</v>
      </c>
      <c r="G68" t="s">
        <v>46</v>
      </c>
      <c r="H68" t="s">
        <v>18</v>
      </c>
      <c r="I68" t="s">
        <v>20</v>
      </c>
      <c r="J68">
        <v>213.11500000000001</v>
      </c>
      <c r="K68">
        <v>5</v>
      </c>
      <c r="L68">
        <v>0.3</v>
      </c>
      <c r="M68">
        <v>-15.2225</v>
      </c>
      <c r="N68" t="str">
        <f t="shared" si="2"/>
        <v>Loss</v>
      </c>
    </row>
    <row r="69" spans="1:14" x14ac:dyDescent="0.3">
      <c r="A69" t="s">
        <v>27</v>
      </c>
      <c r="B69" t="s">
        <v>21</v>
      </c>
      <c r="C69" t="s">
        <v>14</v>
      </c>
      <c r="D69" t="s">
        <v>79</v>
      </c>
      <c r="E69" t="s">
        <v>80</v>
      </c>
      <c r="F69">
        <v>85234</v>
      </c>
      <c r="G69" t="s">
        <v>24</v>
      </c>
      <c r="H69" t="s">
        <v>25</v>
      </c>
      <c r="I69" t="s">
        <v>33</v>
      </c>
      <c r="J69">
        <v>1113.0239999999999</v>
      </c>
      <c r="K69">
        <v>8</v>
      </c>
      <c r="L69">
        <v>0.2</v>
      </c>
      <c r="M69">
        <v>111.30240000000001</v>
      </c>
      <c r="N69" t="str">
        <f t="shared" si="2"/>
        <v>Profit</v>
      </c>
    </row>
    <row r="70" spans="1:14" x14ac:dyDescent="0.3">
      <c r="A70" t="s">
        <v>27</v>
      </c>
      <c r="B70" t="s">
        <v>21</v>
      </c>
      <c r="C70" t="s">
        <v>14</v>
      </c>
      <c r="D70" t="s">
        <v>79</v>
      </c>
      <c r="E70" t="s">
        <v>80</v>
      </c>
      <c r="F70">
        <v>85234</v>
      </c>
      <c r="G70" t="s">
        <v>24</v>
      </c>
      <c r="H70" t="s">
        <v>34</v>
      </c>
      <c r="I70" t="s">
        <v>35</v>
      </c>
      <c r="J70">
        <v>167.96799999999999</v>
      </c>
      <c r="K70">
        <v>4</v>
      </c>
      <c r="L70">
        <v>0.2</v>
      </c>
      <c r="M70">
        <v>62.988</v>
      </c>
      <c r="N70" t="str">
        <f t="shared" si="2"/>
        <v>Profit</v>
      </c>
    </row>
    <row r="71" spans="1:14" x14ac:dyDescent="0.3">
      <c r="A71" t="s">
        <v>61</v>
      </c>
      <c r="B71" t="s">
        <v>13</v>
      </c>
      <c r="C71" t="s">
        <v>14</v>
      </c>
      <c r="D71" t="s">
        <v>81</v>
      </c>
      <c r="E71" t="s">
        <v>82</v>
      </c>
      <c r="F71">
        <v>22153</v>
      </c>
      <c r="G71" t="s">
        <v>17</v>
      </c>
      <c r="H71" t="s">
        <v>25</v>
      </c>
      <c r="I71" t="s">
        <v>40</v>
      </c>
      <c r="J71">
        <v>75.88</v>
      </c>
      <c r="K71">
        <v>2</v>
      </c>
      <c r="L71">
        <v>0</v>
      </c>
      <c r="M71">
        <v>35.663600000000002</v>
      </c>
      <c r="N71" t="str">
        <f t="shared" si="2"/>
        <v>Profit</v>
      </c>
    </row>
    <row r="72" spans="1:14" x14ac:dyDescent="0.3">
      <c r="A72" t="s">
        <v>27</v>
      </c>
      <c r="B72" t="s">
        <v>13</v>
      </c>
      <c r="C72" t="s">
        <v>14</v>
      </c>
      <c r="D72" t="s">
        <v>74</v>
      </c>
      <c r="E72" t="s">
        <v>75</v>
      </c>
      <c r="F72">
        <v>10009</v>
      </c>
      <c r="G72" t="s">
        <v>56</v>
      </c>
      <c r="H72" t="s">
        <v>25</v>
      </c>
      <c r="I72" t="s">
        <v>36</v>
      </c>
      <c r="J72">
        <v>4.6159999999999997</v>
      </c>
      <c r="K72">
        <v>1</v>
      </c>
      <c r="L72">
        <v>0.2</v>
      </c>
      <c r="M72">
        <v>1.7310000000000001</v>
      </c>
      <c r="N72" t="str">
        <f t="shared" si="2"/>
        <v>Profit</v>
      </c>
    </row>
    <row r="73" spans="1:14" x14ac:dyDescent="0.3">
      <c r="A73" t="s">
        <v>12</v>
      </c>
      <c r="B73" t="s">
        <v>13</v>
      </c>
      <c r="C73" t="s">
        <v>14</v>
      </c>
      <c r="D73" t="s">
        <v>83</v>
      </c>
      <c r="E73" t="s">
        <v>69</v>
      </c>
      <c r="F73">
        <v>49201</v>
      </c>
      <c r="G73" t="s">
        <v>46</v>
      </c>
      <c r="H73" t="s">
        <v>25</v>
      </c>
      <c r="I73" t="s">
        <v>40</v>
      </c>
      <c r="J73">
        <v>19.05</v>
      </c>
      <c r="K73">
        <v>3</v>
      </c>
      <c r="L73">
        <v>0</v>
      </c>
      <c r="M73">
        <v>8.7629999999999999</v>
      </c>
      <c r="N73" t="str">
        <f t="shared" si="2"/>
        <v>Profit</v>
      </c>
    </row>
    <row r="74" spans="1:14" x14ac:dyDescent="0.3">
      <c r="A74" t="s">
        <v>27</v>
      </c>
      <c r="B74" t="s">
        <v>13</v>
      </c>
      <c r="C74" t="s">
        <v>14</v>
      </c>
      <c r="D74" t="s">
        <v>84</v>
      </c>
      <c r="E74" t="s">
        <v>85</v>
      </c>
      <c r="F74">
        <v>38109</v>
      </c>
      <c r="G74" t="s">
        <v>17</v>
      </c>
      <c r="H74" t="s">
        <v>18</v>
      </c>
      <c r="I74" t="s">
        <v>20</v>
      </c>
      <c r="J74">
        <v>831.93600000000004</v>
      </c>
      <c r="K74">
        <v>8</v>
      </c>
      <c r="L74">
        <v>0.2</v>
      </c>
      <c r="M74">
        <v>-114.3912</v>
      </c>
      <c r="N74" t="str">
        <f t="shared" si="2"/>
        <v>Loss</v>
      </c>
    </row>
    <row r="75" spans="1:14" x14ac:dyDescent="0.3">
      <c r="A75" t="s">
        <v>27</v>
      </c>
      <c r="B75" t="s">
        <v>13</v>
      </c>
      <c r="C75" t="s">
        <v>14</v>
      </c>
      <c r="D75" t="s">
        <v>84</v>
      </c>
      <c r="E75" t="s">
        <v>85</v>
      </c>
      <c r="F75">
        <v>38109</v>
      </c>
      <c r="G75" t="s">
        <v>17</v>
      </c>
      <c r="H75" t="s">
        <v>18</v>
      </c>
      <c r="I75" t="s">
        <v>32</v>
      </c>
      <c r="J75">
        <v>97.04</v>
      </c>
      <c r="K75">
        <v>2</v>
      </c>
      <c r="L75">
        <v>0.2</v>
      </c>
      <c r="M75">
        <v>1.2130000000000001</v>
      </c>
      <c r="N75" t="str">
        <f t="shared" si="2"/>
        <v>Profit</v>
      </c>
    </row>
    <row r="76" spans="1:14" x14ac:dyDescent="0.3">
      <c r="A76" t="s">
        <v>27</v>
      </c>
      <c r="B76" t="s">
        <v>13</v>
      </c>
      <c r="C76" t="s">
        <v>14</v>
      </c>
      <c r="D76" t="s">
        <v>84</v>
      </c>
      <c r="E76" t="s">
        <v>85</v>
      </c>
      <c r="F76">
        <v>38109</v>
      </c>
      <c r="G76" t="s">
        <v>17</v>
      </c>
      <c r="H76" t="s">
        <v>25</v>
      </c>
      <c r="I76" t="s">
        <v>31</v>
      </c>
      <c r="J76">
        <v>72.784000000000006</v>
      </c>
      <c r="K76">
        <v>1</v>
      </c>
      <c r="L76">
        <v>0.2</v>
      </c>
      <c r="M76">
        <v>-18.196000000000002</v>
      </c>
      <c r="N76" t="str">
        <f t="shared" si="2"/>
        <v>Loss</v>
      </c>
    </row>
    <row r="77" spans="1:14" x14ac:dyDescent="0.3">
      <c r="A77" t="s">
        <v>61</v>
      </c>
      <c r="B77" t="s">
        <v>21</v>
      </c>
      <c r="C77" t="s">
        <v>14</v>
      </c>
      <c r="D77" t="s">
        <v>60</v>
      </c>
      <c r="E77" t="s">
        <v>45</v>
      </c>
      <c r="F77">
        <v>77041</v>
      </c>
      <c r="G77" t="s">
        <v>46</v>
      </c>
      <c r="H77" t="s">
        <v>25</v>
      </c>
      <c r="I77" t="s">
        <v>36</v>
      </c>
      <c r="J77">
        <v>1.248</v>
      </c>
      <c r="K77">
        <v>3</v>
      </c>
      <c r="L77">
        <v>0.8</v>
      </c>
      <c r="M77">
        <v>-1.9343999999999999</v>
      </c>
      <c r="N77" t="str">
        <f t="shared" si="2"/>
        <v>Loss</v>
      </c>
    </row>
    <row r="78" spans="1:14" x14ac:dyDescent="0.3">
      <c r="A78" t="s">
        <v>61</v>
      </c>
      <c r="B78" t="s">
        <v>21</v>
      </c>
      <c r="C78" t="s">
        <v>14</v>
      </c>
      <c r="D78" t="s">
        <v>60</v>
      </c>
      <c r="E78" t="s">
        <v>45</v>
      </c>
      <c r="F78">
        <v>77041</v>
      </c>
      <c r="G78" t="s">
        <v>46</v>
      </c>
      <c r="H78" t="s">
        <v>18</v>
      </c>
      <c r="I78" t="s">
        <v>32</v>
      </c>
      <c r="J78">
        <v>9.7080000000000002</v>
      </c>
      <c r="K78">
        <v>3</v>
      </c>
      <c r="L78">
        <v>0.6</v>
      </c>
      <c r="M78">
        <v>-5.8247999999999998</v>
      </c>
      <c r="N78" t="str">
        <f t="shared" si="2"/>
        <v>Loss</v>
      </c>
    </row>
    <row r="79" spans="1:14" x14ac:dyDescent="0.3">
      <c r="A79" t="s">
        <v>61</v>
      </c>
      <c r="B79" t="s">
        <v>21</v>
      </c>
      <c r="C79" t="s">
        <v>14</v>
      </c>
      <c r="D79" t="s">
        <v>60</v>
      </c>
      <c r="E79" t="s">
        <v>45</v>
      </c>
      <c r="F79">
        <v>77041</v>
      </c>
      <c r="G79" t="s">
        <v>46</v>
      </c>
      <c r="H79" t="s">
        <v>25</v>
      </c>
      <c r="I79" t="s">
        <v>31</v>
      </c>
      <c r="J79">
        <v>27.24</v>
      </c>
      <c r="K79">
        <v>3</v>
      </c>
      <c r="L79">
        <v>0.2</v>
      </c>
      <c r="M79">
        <v>2.7240000000000002</v>
      </c>
      <c r="N79" t="str">
        <f t="shared" si="2"/>
        <v>Profit</v>
      </c>
    </row>
    <row r="80" spans="1:14" x14ac:dyDescent="0.3">
      <c r="A80" t="s">
        <v>12</v>
      </c>
      <c r="B80" t="s">
        <v>13</v>
      </c>
      <c r="C80" t="s">
        <v>14</v>
      </c>
      <c r="D80" t="s">
        <v>60</v>
      </c>
      <c r="E80" t="s">
        <v>45</v>
      </c>
      <c r="F80">
        <v>77070</v>
      </c>
      <c r="G80" t="s">
        <v>46</v>
      </c>
      <c r="H80" t="s">
        <v>18</v>
      </c>
      <c r="I80" t="s">
        <v>32</v>
      </c>
      <c r="J80">
        <v>19.3</v>
      </c>
      <c r="K80">
        <v>5</v>
      </c>
      <c r="L80">
        <v>0.6</v>
      </c>
      <c r="M80">
        <v>-14.475</v>
      </c>
      <c r="N80" t="str">
        <f t="shared" si="2"/>
        <v>Loss</v>
      </c>
    </row>
    <row r="81" spans="1:14" x14ac:dyDescent="0.3">
      <c r="A81" t="s">
        <v>61</v>
      </c>
      <c r="B81" t="s">
        <v>21</v>
      </c>
      <c r="C81" t="s">
        <v>14</v>
      </c>
      <c r="D81" t="s">
        <v>86</v>
      </c>
      <c r="E81" t="s">
        <v>87</v>
      </c>
      <c r="F81">
        <v>35601</v>
      </c>
      <c r="G81" t="s">
        <v>17</v>
      </c>
      <c r="H81" t="s">
        <v>25</v>
      </c>
      <c r="I81" t="s">
        <v>37</v>
      </c>
      <c r="J81">
        <v>208.16</v>
      </c>
      <c r="K81">
        <v>1</v>
      </c>
      <c r="L81">
        <v>0</v>
      </c>
      <c r="M81">
        <v>56.203200000000002</v>
      </c>
      <c r="N81" t="str">
        <f t="shared" si="2"/>
        <v>Profit</v>
      </c>
    </row>
    <row r="82" spans="1:14" x14ac:dyDescent="0.3">
      <c r="A82" t="s">
        <v>61</v>
      </c>
      <c r="B82" t="s">
        <v>21</v>
      </c>
      <c r="C82" t="s">
        <v>14</v>
      </c>
      <c r="D82" t="s">
        <v>86</v>
      </c>
      <c r="E82" t="s">
        <v>87</v>
      </c>
      <c r="F82">
        <v>35601</v>
      </c>
      <c r="G82" t="s">
        <v>17</v>
      </c>
      <c r="H82" t="s">
        <v>25</v>
      </c>
      <c r="I82" t="s">
        <v>36</v>
      </c>
      <c r="J82">
        <v>16.739999999999998</v>
      </c>
      <c r="K82">
        <v>3</v>
      </c>
      <c r="L82">
        <v>0</v>
      </c>
      <c r="M82">
        <v>8.0351999999999997</v>
      </c>
      <c r="N82" t="str">
        <f t="shared" si="2"/>
        <v>Profit</v>
      </c>
    </row>
    <row r="83" spans="1:14" x14ac:dyDescent="0.3">
      <c r="A83" t="s">
        <v>27</v>
      </c>
      <c r="B83" t="s">
        <v>13</v>
      </c>
      <c r="C83" t="s">
        <v>14</v>
      </c>
      <c r="D83" t="s">
        <v>51</v>
      </c>
      <c r="E83" t="s">
        <v>23</v>
      </c>
      <c r="F83">
        <v>94122</v>
      </c>
      <c r="G83" t="s">
        <v>24</v>
      </c>
      <c r="H83" t="s">
        <v>25</v>
      </c>
      <c r="I83" t="s">
        <v>33</v>
      </c>
      <c r="J83">
        <v>14.9</v>
      </c>
      <c r="K83">
        <v>5</v>
      </c>
      <c r="L83">
        <v>0</v>
      </c>
      <c r="M83">
        <v>4.1719999999999997</v>
      </c>
      <c r="N83" t="str">
        <f t="shared" si="2"/>
        <v>Profit</v>
      </c>
    </row>
    <row r="84" spans="1:14" x14ac:dyDescent="0.3">
      <c r="A84" t="s">
        <v>27</v>
      </c>
      <c r="B84" t="s">
        <v>13</v>
      </c>
      <c r="C84" t="s">
        <v>14</v>
      </c>
      <c r="D84" t="s">
        <v>51</v>
      </c>
      <c r="E84" t="s">
        <v>23</v>
      </c>
      <c r="F84">
        <v>94122</v>
      </c>
      <c r="G84" t="s">
        <v>24</v>
      </c>
      <c r="H84" t="s">
        <v>25</v>
      </c>
      <c r="I84" t="s">
        <v>31</v>
      </c>
      <c r="J84">
        <v>21.39</v>
      </c>
      <c r="K84">
        <v>1</v>
      </c>
      <c r="L84">
        <v>0</v>
      </c>
      <c r="M84">
        <v>6.2031000000000001</v>
      </c>
      <c r="N84" t="str">
        <f t="shared" si="2"/>
        <v>Profit</v>
      </c>
    </row>
    <row r="85" spans="1:14" x14ac:dyDescent="0.3">
      <c r="A85" t="s">
        <v>27</v>
      </c>
      <c r="B85" t="s">
        <v>21</v>
      </c>
      <c r="C85" t="s">
        <v>14</v>
      </c>
      <c r="D85" t="s">
        <v>88</v>
      </c>
      <c r="E85" t="s">
        <v>39</v>
      </c>
      <c r="F85">
        <v>27707</v>
      </c>
      <c r="G85" t="s">
        <v>17</v>
      </c>
      <c r="H85" t="s">
        <v>25</v>
      </c>
      <c r="I85" t="s">
        <v>59</v>
      </c>
      <c r="J85">
        <v>200.98400000000001</v>
      </c>
      <c r="K85">
        <v>7</v>
      </c>
      <c r="L85">
        <v>0.2</v>
      </c>
      <c r="M85">
        <v>62.807499999999997</v>
      </c>
      <c r="N85" t="str">
        <f t="shared" si="2"/>
        <v>Profit</v>
      </c>
    </row>
    <row r="86" spans="1:14" x14ac:dyDescent="0.3">
      <c r="A86" t="s">
        <v>61</v>
      </c>
      <c r="B86" t="s">
        <v>43</v>
      </c>
      <c r="C86" t="s">
        <v>14</v>
      </c>
      <c r="D86" t="s">
        <v>78</v>
      </c>
      <c r="E86" t="s">
        <v>64</v>
      </c>
      <c r="F86">
        <v>60623</v>
      </c>
      <c r="G86" t="s">
        <v>46</v>
      </c>
      <c r="H86" t="s">
        <v>25</v>
      </c>
      <c r="I86" t="s">
        <v>31</v>
      </c>
      <c r="J86">
        <v>230.376</v>
      </c>
      <c r="K86">
        <v>3</v>
      </c>
      <c r="L86">
        <v>0.2</v>
      </c>
      <c r="M86">
        <v>-48.954900000000002</v>
      </c>
      <c r="N86" t="str">
        <f t="shared" si="2"/>
        <v>Loss</v>
      </c>
    </row>
    <row r="87" spans="1:14" x14ac:dyDescent="0.3">
      <c r="A87" t="s">
        <v>12</v>
      </c>
      <c r="B87" t="s">
        <v>13</v>
      </c>
      <c r="C87" t="s">
        <v>14</v>
      </c>
      <c r="D87" t="s">
        <v>89</v>
      </c>
      <c r="E87" t="s">
        <v>90</v>
      </c>
      <c r="F87">
        <v>29203</v>
      </c>
      <c r="G87" t="s">
        <v>17</v>
      </c>
      <c r="H87" t="s">
        <v>18</v>
      </c>
      <c r="I87" t="s">
        <v>20</v>
      </c>
      <c r="J87">
        <v>301.95999999999998</v>
      </c>
      <c r="K87">
        <v>2</v>
      </c>
      <c r="L87">
        <v>0</v>
      </c>
      <c r="M87">
        <v>33.215600000000002</v>
      </c>
      <c r="N87" t="str">
        <f t="shared" si="2"/>
        <v>Profit</v>
      </c>
    </row>
    <row r="88" spans="1:14" x14ac:dyDescent="0.3">
      <c r="A88" t="s">
        <v>27</v>
      </c>
      <c r="B88" t="s">
        <v>13</v>
      </c>
      <c r="C88" t="s">
        <v>14</v>
      </c>
      <c r="D88" t="s">
        <v>91</v>
      </c>
      <c r="E88" t="s">
        <v>67</v>
      </c>
      <c r="F88">
        <v>55901</v>
      </c>
      <c r="G88" t="s">
        <v>46</v>
      </c>
      <c r="H88" t="s">
        <v>34</v>
      </c>
      <c r="I88" t="s">
        <v>58</v>
      </c>
      <c r="J88">
        <v>19.989999999999998</v>
      </c>
      <c r="K88">
        <v>1</v>
      </c>
      <c r="L88">
        <v>0</v>
      </c>
      <c r="M88">
        <v>6.7965999999999998</v>
      </c>
      <c r="N88" t="str">
        <f t="shared" si="2"/>
        <v>Profit</v>
      </c>
    </row>
    <row r="89" spans="1:14" x14ac:dyDescent="0.3">
      <c r="A89" t="s">
        <v>27</v>
      </c>
      <c r="B89" t="s">
        <v>13</v>
      </c>
      <c r="C89" t="s">
        <v>14</v>
      </c>
      <c r="D89" t="s">
        <v>91</v>
      </c>
      <c r="E89" t="s">
        <v>67</v>
      </c>
      <c r="F89">
        <v>55901</v>
      </c>
      <c r="G89" t="s">
        <v>46</v>
      </c>
      <c r="H89" t="s">
        <v>25</v>
      </c>
      <c r="I89" t="s">
        <v>26</v>
      </c>
      <c r="J89">
        <v>6.16</v>
      </c>
      <c r="K89">
        <v>2</v>
      </c>
      <c r="L89">
        <v>0</v>
      </c>
      <c r="M89">
        <v>2.9567999999999999</v>
      </c>
      <c r="N89" t="str">
        <f t="shared" si="2"/>
        <v>Profit</v>
      </c>
    </row>
    <row r="90" spans="1:14" x14ac:dyDescent="0.3">
      <c r="A90" t="s">
        <v>12</v>
      </c>
      <c r="B90" t="s">
        <v>43</v>
      </c>
      <c r="C90" t="s">
        <v>14</v>
      </c>
      <c r="D90" t="s">
        <v>60</v>
      </c>
      <c r="E90" t="s">
        <v>45</v>
      </c>
      <c r="F90">
        <v>77095</v>
      </c>
      <c r="G90" t="s">
        <v>46</v>
      </c>
      <c r="H90" t="s">
        <v>25</v>
      </c>
      <c r="I90" t="s">
        <v>31</v>
      </c>
      <c r="J90">
        <v>158.36799999999999</v>
      </c>
      <c r="K90">
        <v>7</v>
      </c>
      <c r="L90">
        <v>0.2</v>
      </c>
      <c r="M90">
        <v>13.857200000000001</v>
      </c>
      <c r="N90" t="str">
        <f t="shared" si="2"/>
        <v>Profit</v>
      </c>
    </row>
    <row r="91" spans="1:14" x14ac:dyDescent="0.3">
      <c r="A91" t="s">
        <v>27</v>
      </c>
      <c r="B91" t="s">
        <v>21</v>
      </c>
      <c r="C91" t="s">
        <v>14</v>
      </c>
      <c r="D91" t="s">
        <v>22</v>
      </c>
      <c r="E91" t="s">
        <v>23</v>
      </c>
      <c r="F91">
        <v>90036</v>
      </c>
      <c r="G91" t="s">
        <v>24</v>
      </c>
      <c r="H91" t="s">
        <v>25</v>
      </c>
      <c r="I91" t="s">
        <v>33</v>
      </c>
      <c r="J91">
        <v>20.100000000000001</v>
      </c>
      <c r="K91">
        <v>3</v>
      </c>
      <c r="L91">
        <v>0</v>
      </c>
      <c r="M91">
        <v>6.633</v>
      </c>
      <c r="N91" t="str">
        <f t="shared" si="2"/>
        <v>Profit</v>
      </c>
    </row>
    <row r="92" spans="1:14" x14ac:dyDescent="0.3">
      <c r="A92" t="s">
        <v>27</v>
      </c>
      <c r="B92" t="s">
        <v>21</v>
      </c>
      <c r="C92" t="s">
        <v>14</v>
      </c>
      <c r="D92" t="s">
        <v>22</v>
      </c>
      <c r="E92" t="s">
        <v>23</v>
      </c>
      <c r="F92">
        <v>90036</v>
      </c>
      <c r="G92" t="s">
        <v>24</v>
      </c>
      <c r="H92" t="s">
        <v>34</v>
      </c>
      <c r="I92" t="s">
        <v>35</v>
      </c>
      <c r="J92">
        <v>73.584000000000003</v>
      </c>
      <c r="K92">
        <v>2</v>
      </c>
      <c r="L92">
        <v>0.2</v>
      </c>
      <c r="M92">
        <v>8.2782</v>
      </c>
      <c r="N92" t="str">
        <f t="shared" si="2"/>
        <v>Profit</v>
      </c>
    </row>
    <row r="93" spans="1:14" x14ac:dyDescent="0.3">
      <c r="A93" t="s">
        <v>27</v>
      </c>
      <c r="B93" t="s">
        <v>21</v>
      </c>
      <c r="C93" t="s">
        <v>14</v>
      </c>
      <c r="D93" t="s">
        <v>22</v>
      </c>
      <c r="E93" t="s">
        <v>23</v>
      </c>
      <c r="F93">
        <v>90036</v>
      </c>
      <c r="G93" t="s">
        <v>24</v>
      </c>
      <c r="H93" t="s">
        <v>25</v>
      </c>
      <c r="I93" t="s">
        <v>40</v>
      </c>
      <c r="J93">
        <v>6.48</v>
      </c>
      <c r="K93">
        <v>1</v>
      </c>
      <c r="L93">
        <v>0</v>
      </c>
      <c r="M93">
        <v>3.1103999999999998</v>
      </c>
      <c r="N93" t="str">
        <f t="shared" si="2"/>
        <v>Profit</v>
      </c>
    </row>
    <row r="94" spans="1:14" x14ac:dyDescent="0.3">
      <c r="A94" t="s">
        <v>12</v>
      </c>
      <c r="B94" t="s">
        <v>13</v>
      </c>
      <c r="C94" t="s">
        <v>14</v>
      </c>
      <c r="D94" t="s">
        <v>92</v>
      </c>
      <c r="E94" t="s">
        <v>67</v>
      </c>
      <c r="F94">
        <v>55407</v>
      </c>
      <c r="G94" t="s">
        <v>46</v>
      </c>
      <c r="H94" t="s">
        <v>25</v>
      </c>
      <c r="I94" t="s">
        <v>40</v>
      </c>
      <c r="J94">
        <v>12.96</v>
      </c>
      <c r="K94">
        <v>2</v>
      </c>
      <c r="L94">
        <v>0</v>
      </c>
      <c r="M94">
        <v>6.2207999999999997</v>
      </c>
      <c r="N94" t="str">
        <f t="shared" si="2"/>
        <v>Profit</v>
      </c>
    </row>
    <row r="95" spans="1:14" x14ac:dyDescent="0.3">
      <c r="A95" t="s">
        <v>12</v>
      </c>
      <c r="B95" t="s">
        <v>13</v>
      </c>
      <c r="C95" t="s">
        <v>14</v>
      </c>
      <c r="D95" t="s">
        <v>92</v>
      </c>
      <c r="E95" t="s">
        <v>67</v>
      </c>
      <c r="F95">
        <v>55407</v>
      </c>
      <c r="G95" t="s">
        <v>46</v>
      </c>
      <c r="H95" t="s">
        <v>18</v>
      </c>
      <c r="I95" t="s">
        <v>32</v>
      </c>
      <c r="J95">
        <v>53.34</v>
      </c>
      <c r="K95">
        <v>3</v>
      </c>
      <c r="L95">
        <v>0</v>
      </c>
      <c r="M95">
        <v>16.535399999999999</v>
      </c>
      <c r="N95" t="str">
        <f t="shared" si="2"/>
        <v>Profit</v>
      </c>
    </row>
    <row r="96" spans="1:14" x14ac:dyDescent="0.3">
      <c r="A96" t="s">
        <v>12</v>
      </c>
      <c r="B96" t="s">
        <v>13</v>
      </c>
      <c r="C96" t="s">
        <v>14</v>
      </c>
      <c r="D96" t="s">
        <v>92</v>
      </c>
      <c r="E96" t="s">
        <v>67</v>
      </c>
      <c r="F96">
        <v>55407</v>
      </c>
      <c r="G96" t="s">
        <v>46</v>
      </c>
      <c r="H96" t="s">
        <v>25</v>
      </c>
      <c r="I96" t="s">
        <v>36</v>
      </c>
      <c r="J96">
        <v>32.96</v>
      </c>
      <c r="K96">
        <v>2</v>
      </c>
      <c r="L96">
        <v>0</v>
      </c>
      <c r="M96">
        <v>16.150400000000001</v>
      </c>
      <c r="N96" t="str">
        <f t="shared" si="2"/>
        <v>Profit</v>
      </c>
    </row>
    <row r="97" spans="1:14" x14ac:dyDescent="0.3">
      <c r="A97" t="s">
        <v>27</v>
      </c>
      <c r="B97" t="s">
        <v>43</v>
      </c>
      <c r="C97" t="s">
        <v>14</v>
      </c>
      <c r="D97" t="s">
        <v>93</v>
      </c>
      <c r="E97" t="s">
        <v>94</v>
      </c>
      <c r="F97">
        <v>97206</v>
      </c>
      <c r="G97" t="s">
        <v>24</v>
      </c>
      <c r="H97" t="s">
        <v>25</v>
      </c>
      <c r="I97" t="s">
        <v>36</v>
      </c>
      <c r="J97">
        <v>5.6820000000000004</v>
      </c>
      <c r="K97">
        <v>1</v>
      </c>
      <c r="L97">
        <v>0.7</v>
      </c>
      <c r="M97">
        <v>-3.7879999999999998</v>
      </c>
      <c r="N97" t="str">
        <f t="shared" si="2"/>
        <v>Loss</v>
      </c>
    </row>
    <row r="98" spans="1:14" x14ac:dyDescent="0.3">
      <c r="A98" t="s">
        <v>12</v>
      </c>
      <c r="B98" t="s">
        <v>43</v>
      </c>
      <c r="C98" t="s">
        <v>14</v>
      </c>
      <c r="D98" t="s">
        <v>74</v>
      </c>
      <c r="E98" t="s">
        <v>75</v>
      </c>
      <c r="F98">
        <v>10009</v>
      </c>
      <c r="G98" t="s">
        <v>56</v>
      </c>
      <c r="H98" t="s">
        <v>18</v>
      </c>
      <c r="I98" t="s">
        <v>32</v>
      </c>
      <c r="J98">
        <v>96.53</v>
      </c>
      <c r="K98">
        <v>7</v>
      </c>
      <c r="L98">
        <v>0</v>
      </c>
      <c r="M98">
        <v>40.5426</v>
      </c>
      <c r="N98" t="str">
        <f t="shared" ref="N98:N129" si="3">IF(M98&gt;0,"Profit","Loss")</f>
        <v>Profit</v>
      </c>
    </row>
    <row r="99" spans="1:14" x14ac:dyDescent="0.3">
      <c r="A99" t="s">
        <v>61</v>
      </c>
      <c r="B99" t="s">
        <v>13</v>
      </c>
      <c r="C99" t="s">
        <v>14</v>
      </c>
      <c r="D99" t="s">
        <v>51</v>
      </c>
      <c r="E99" t="s">
        <v>23</v>
      </c>
      <c r="F99">
        <v>94122</v>
      </c>
      <c r="G99" t="s">
        <v>24</v>
      </c>
      <c r="H99" t="s">
        <v>25</v>
      </c>
      <c r="I99" t="s">
        <v>36</v>
      </c>
      <c r="J99">
        <v>51.311999999999998</v>
      </c>
      <c r="K99">
        <v>3</v>
      </c>
      <c r="L99">
        <v>0.2</v>
      </c>
      <c r="M99">
        <v>17.959199999999999</v>
      </c>
      <c r="N99" t="str">
        <f t="shared" si="3"/>
        <v>Profit</v>
      </c>
    </row>
    <row r="100" spans="1:14" x14ac:dyDescent="0.3">
      <c r="A100" t="s">
        <v>27</v>
      </c>
      <c r="B100" t="s">
        <v>21</v>
      </c>
      <c r="C100" t="s">
        <v>14</v>
      </c>
      <c r="D100" t="s">
        <v>95</v>
      </c>
      <c r="E100" t="s">
        <v>67</v>
      </c>
      <c r="F100">
        <v>55106</v>
      </c>
      <c r="G100" t="s">
        <v>46</v>
      </c>
      <c r="H100" t="s">
        <v>25</v>
      </c>
      <c r="I100" t="s">
        <v>37</v>
      </c>
      <c r="J100">
        <v>77.88</v>
      </c>
      <c r="K100">
        <v>6</v>
      </c>
      <c r="L100">
        <v>0</v>
      </c>
      <c r="M100">
        <v>22.5852</v>
      </c>
      <c r="N100" t="str">
        <f t="shared" si="3"/>
        <v>Profit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aysha ferin</cp:lastModifiedBy>
  <dcterms:created xsi:type="dcterms:W3CDTF">2026-01-21T12:45:57Z</dcterms:created>
  <dcterms:modified xsi:type="dcterms:W3CDTF">2026-01-21T14:18:47Z</dcterms:modified>
</cp:coreProperties>
</file>